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1"/>
  <workbookPr/>
  <mc:AlternateContent xmlns:mc="http://schemas.openxmlformats.org/markup-compatibility/2006">
    <mc:Choice Requires="x15">
      <x15ac:absPath xmlns:x15ac="http://schemas.microsoft.com/office/spreadsheetml/2010/11/ac" url="https://d.docs.live.net/857c75d42fd4d53b/Documents/iS Clinical/"/>
    </mc:Choice>
  </mc:AlternateContent>
  <xr:revisionPtr revIDLastSave="0" documentId="8_{11FFE6CF-F4B7-47C5-8953-D472D7DF4FD4}" xr6:coauthVersionLast="47" xr6:coauthVersionMax="47" xr10:uidLastSave="{00000000-0000-0000-0000-000000000000}"/>
  <bookViews>
    <workbookView xWindow="28680" yWindow="-120" windowWidth="29040" windowHeight="15720" activeTab="6" xr2:uid="{00000000-000D-0000-FFFF-FFFF00000000}"/>
  </bookViews>
  <sheets>
    <sheet name="Risks" sheetId="5" r:id="rId1"/>
    <sheet name="Action Items" sheetId="6" r:id="rId2"/>
    <sheet name="Issues" sheetId="4" r:id="rId3"/>
    <sheet name="Decisions" sheetId="7" r:id="rId4"/>
    <sheet name="Dependencies" sheetId="9" r:id="rId5"/>
    <sheet name="How to - Issues" sheetId="2" r:id="rId6"/>
    <sheet name="How to - Risks" sheetId="8" r:id="rId7"/>
  </sheets>
  <definedNames>
    <definedName name="_xlnm._FilterDatabase" localSheetId="2" hidden="1">Issues!$A$1:$K$191</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4" l="1"/>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I184" i="4"/>
  <c r="H191" i="4"/>
  <c r="I191" i="4"/>
  <c r="H190" i="4"/>
  <c r="I190" i="4"/>
  <c r="H189" i="4"/>
  <c r="I189" i="4"/>
  <c r="H188" i="4"/>
  <c r="I188" i="4"/>
  <c r="H187" i="4"/>
  <c r="I187" i="4"/>
  <c r="H186" i="4"/>
  <c r="I186" i="4"/>
  <c r="H185" i="4"/>
  <c r="I185" i="4"/>
  <c r="H184" i="4"/>
  <c r="H183" i="4"/>
  <c r="I183" i="4"/>
  <c r="H182" i="4"/>
  <c r="I182" i="4"/>
  <c r="H181" i="4"/>
  <c r="I181" i="4"/>
  <c r="H180" i="4"/>
  <c r="I180" i="4"/>
  <c r="H179" i="4"/>
  <c r="I179" i="4"/>
  <c r="H178" i="4"/>
  <c r="I178" i="4"/>
  <c r="H177" i="4"/>
  <c r="I177" i="4"/>
  <c r="H176" i="4"/>
  <c r="I176" i="4"/>
  <c r="H175" i="4"/>
  <c r="I175" i="4"/>
  <c r="H174" i="4"/>
  <c r="I174" i="4"/>
  <c r="H173" i="4"/>
  <c r="I173" i="4"/>
  <c r="H172" i="4"/>
  <c r="I172" i="4"/>
  <c r="H171" i="4"/>
  <c r="I171" i="4"/>
  <c r="H170" i="4"/>
  <c r="I170" i="4"/>
  <c r="H169" i="4"/>
  <c r="I169" i="4"/>
  <c r="H168" i="4"/>
  <c r="I168" i="4"/>
  <c r="H167" i="4"/>
  <c r="I167" i="4"/>
  <c r="H166" i="4"/>
  <c r="I166" i="4"/>
  <c r="H165" i="4"/>
  <c r="I165" i="4"/>
  <c r="H164" i="4"/>
  <c r="I164" i="4"/>
  <c r="H163" i="4"/>
  <c r="I163" i="4"/>
  <c r="H162" i="4"/>
  <c r="I162" i="4"/>
  <c r="H161" i="4"/>
  <c r="I161" i="4"/>
  <c r="H160" i="4"/>
  <c r="I160" i="4"/>
  <c r="H159" i="4"/>
  <c r="I159" i="4"/>
  <c r="H158" i="4"/>
  <c r="I158" i="4"/>
  <c r="H157" i="4"/>
  <c r="I157" i="4"/>
  <c r="H156" i="4"/>
  <c r="I156" i="4"/>
  <c r="H155" i="4"/>
  <c r="I155" i="4"/>
  <c r="H154" i="4"/>
  <c r="I154" i="4"/>
  <c r="H153" i="4"/>
  <c r="I153" i="4"/>
  <c r="H152" i="4"/>
  <c r="I152" i="4"/>
  <c r="H151" i="4"/>
  <c r="I151" i="4"/>
  <c r="H150" i="4"/>
  <c r="I150" i="4"/>
  <c r="H149" i="4"/>
  <c r="I149" i="4"/>
  <c r="H148" i="4"/>
  <c r="I148" i="4"/>
  <c r="H147" i="4"/>
  <c r="I147" i="4"/>
  <c r="H146" i="4"/>
  <c r="I146" i="4"/>
  <c r="H145" i="4"/>
  <c r="I145" i="4"/>
  <c r="H144" i="4"/>
  <c r="I144" i="4"/>
  <c r="H143" i="4"/>
  <c r="I143" i="4"/>
  <c r="H142" i="4"/>
  <c r="I142" i="4"/>
  <c r="H141" i="4"/>
  <c r="I141" i="4"/>
  <c r="H140" i="4"/>
  <c r="I140" i="4"/>
  <c r="H139" i="4"/>
  <c r="I139" i="4"/>
  <c r="H138" i="4"/>
  <c r="I138" i="4"/>
  <c r="H137" i="4"/>
  <c r="I137" i="4"/>
  <c r="H136" i="4"/>
  <c r="I136" i="4"/>
  <c r="H135" i="4"/>
  <c r="I135" i="4"/>
  <c r="H134" i="4"/>
  <c r="I134" i="4"/>
  <c r="H133" i="4"/>
  <c r="I133" i="4"/>
  <c r="H132" i="4"/>
  <c r="I132" i="4"/>
  <c r="H131" i="4"/>
  <c r="I131" i="4"/>
  <c r="H130" i="4"/>
  <c r="I130" i="4"/>
  <c r="H129" i="4"/>
  <c r="I129" i="4"/>
  <c r="H128" i="4"/>
  <c r="I128" i="4"/>
  <c r="H127" i="4"/>
  <c r="I127" i="4"/>
  <c r="H126" i="4"/>
  <c r="I126" i="4"/>
  <c r="H125" i="4"/>
  <c r="I125" i="4"/>
  <c r="H124" i="4"/>
  <c r="I124" i="4"/>
  <c r="H123" i="4"/>
  <c r="I123" i="4"/>
  <c r="H122" i="4"/>
  <c r="I122" i="4"/>
  <c r="H121" i="4"/>
  <c r="I121" i="4"/>
  <c r="H120" i="4"/>
  <c r="I120" i="4"/>
  <c r="H119" i="4"/>
  <c r="I119" i="4"/>
  <c r="H118" i="4"/>
  <c r="I118" i="4"/>
  <c r="H117" i="4"/>
  <c r="I117" i="4"/>
  <c r="H116" i="4"/>
  <c r="I116" i="4"/>
  <c r="H115" i="4"/>
  <c r="I115" i="4"/>
  <c r="H114" i="4"/>
  <c r="I114" i="4"/>
  <c r="H113" i="4"/>
  <c r="I113" i="4"/>
  <c r="H112" i="4"/>
  <c r="I112" i="4"/>
  <c r="H111" i="4"/>
  <c r="I111" i="4"/>
  <c r="H110" i="4"/>
  <c r="I110" i="4"/>
  <c r="H109" i="4"/>
  <c r="I109" i="4"/>
  <c r="H108" i="4"/>
  <c r="I108" i="4"/>
  <c r="H107" i="4"/>
  <c r="I107" i="4"/>
  <c r="H106" i="4"/>
  <c r="I106" i="4"/>
  <c r="H105" i="4"/>
  <c r="I105" i="4"/>
  <c r="H104" i="4"/>
  <c r="I104" i="4"/>
  <c r="H103" i="4"/>
  <c r="I103" i="4"/>
  <c r="H102" i="4"/>
  <c r="I102" i="4"/>
  <c r="H101" i="4"/>
  <c r="I101" i="4"/>
  <c r="H100" i="4"/>
  <c r="I100" i="4"/>
  <c r="H99" i="4"/>
  <c r="I99" i="4"/>
  <c r="H98" i="4"/>
  <c r="I98" i="4"/>
  <c r="H97" i="4"/>
  <c r="I97" i="4"/>
  <c r="H96" i="4"/>
  <c r="I96" i="4"/>
  <c r="H95" i="4"/>
  <c r="I95" i="4"/>
  <c r="H94" i="4"/>
  <c r="I94" i="4"/>
  <c r="H93" i="4"/>
  <c r="I93" i="4"/>
  <c r="H92" i="4"/>
  <c r="I92" i="4"/>
  <c r="H91" i="4"/>
  <c r="I91" i="4"/>
  <c r="H90" i="4"/>
  <c r="I90" i="4"/>
  <c r="H89" i="4"/>
  <c r="I89" i="4"/>
  <c r="H88" i="4"/>
  <c r="I88" i="4"/>
  <c r="H87" i="4"/>
  <c r="I87" i="4"/>
  <c r="H86" i="4"/>
  <c r="I86" i="4"/>
  <c r="H85" i="4"/>
  <c r="I85" i="4"/>
  <c r="H84" i="4"/>
  <c r="I84" i="4"/>
  <c r="H83" i="4"/>
  <c r="I83" i="4"/>
  <c r="H82" i="4"/>
  <c r="I82" i="4"/>
  <c r="H81" i="4"/>
  <c r="I81" i="4"/>
  <c r="H80" i="4"/>
  <c r="I80" i="4"/>
  <c r="H79" i="4"/>
  <c r="I79" i="4"/>
  <c r="H78" i="4"/>
  <c r="I78" i="4"/>
  <c r="H77" i="4"/>
  <c r="I77" i="4"/>
  <c r="H76" i="4"/>
  <c r="I76" i="4"/>
  <c r="H75" i="4"/>
  <c r="I75" i="4"/>
  <c r="H74" i="4"/>
  <c r="I74" i="4"/>
  <c r="H73" i="4"/>
  <c r="I73" i="4"/>
  <c r="H72" i="4"/>
  <c r="I72" i="4"/>
  <c r="H71" i="4"/>
  <c r="I71" i="4"/>
  <c r="H70" i="4"/>
  <c r="I70" i="4"/>
  <c r="H69" i="4"/>
  <c r="I69" i="4"/>
  <c r="H68" i="4"/>
  <c r="I68" i="4"/>
  <c r="H67" i="4"/>
  <c r="I67" i="4"/>
  <c r="H66" i="4"/>
  <c r="I66" i="4"/>
  <c r="H65" i="4"/>
  <c r="I65" i="4"/>
  <c r="H64" i="4"/>
  <c r="I64" i="4"/>
  <c r="H63" i="4"/>
  <c r="I63" i="4"/>
  <c r="H62" i="4"/>
  <c r="I62" i="4"/>
  <c r="H61" i="4"/>
  <c r="I61" i="4"/>
  <c r="H60" i="4"/>
  <c r="I60" i="4"/>
  <c r="H59" i="4"/>
  <c r="I59" i="4"/>
  <c r="H58" i="4"/>
  <c r="I58" i="4"/>
  <c r="H57" i="4"/>
  <c r="I57" i="4"/>
  <c r="H56" i="4"/>
  <c r="I56" i="4"/>
  <c r="H55" i="4"/>
  <c r="I55" i="4"/>
  <c r="H54" i="4"/>
  <c r="I54" i="4"/>
  <c r="H53" i="4"/>
  <c r="I53" i="4"/>
  <c r="H52" i="4"/>
  <c r="I52" i="4"/>
  <c r="H51" i="4"/>
  <c r="I51" i="4"/>
  <c r="H50" i="4"/>
  <c r="I50" i="4"/>
  <c r="H49" i="4"/>
  <c r="I49" i="4"/>
  <c r="H48" i="4"/>
  <c r="I48" i="4"/>
  <c r="H47" i="4"/>
  <c r="I47" i="4"/>
  <c r="H46" i="4"/>
  <c r="I46" i="4"/>
  <c r="H45" i="4"/>
  <c r="I45" i="4"/>
  <c r="H44" i="4"/>
  <c r="I44" i="4"/>
  <c r="H43" i="4"/>
  <c r="I43" i="4"/>
  <c r="H42" i="4"/>
  <c r="I42" i="4"/>
  <c r="H41" i="4"/>
  <c r="I41" i="4"/>
  <c r="H40" i="4"/>
  <c r="I40" i="4"/>
  <c r="H39" i="4"/>
  <c r="I39" i="4"/>
  <c r="H38" i="4"/>
  <c r="I38" i="4"/>
  <c r="H37" i="4"/>
  <c r="I37" i="4"/>
  <c r="H36" i="4"/>
  <c r="I36" i="4"/>
  <c r="H35" i="4"/>
  <c r="I35" i="4"/>
  <c r="H34" i="4"/>
  <c r="I34" i="4"/>
  <c r="H33" i="4"/>
  <c r="I33" i="4"/>
  <c r="H32" i="4"/>
  <c r="I32" i="4"/>
  <c r="H31" i="4"/>
  <c r="I31" i="4"/>
  <c r="H30" i="4"/>
  <c r="I30" i="4"/>
  <c r="H29" i="4"/>
  <c r="I29" i="4"/>
  <c r="H28" i="4"/>
  <c r="I28" i="4"/>
  <c r="H27" i="4"/>
  <c r="I27" i="4"/>
  <c r="H26" i="4"/>
  <c r="I26" i="4"/>
  <c r="H25" i="4"/>
  <c r="I25" i="4"/>
  <c r="H24" i="4"/>
  <c r="I24" i="4"/>
  <c r="H23" i="4"/>
  <c r="I23" i="4"/>
  <c r="H22" i="4"/>
  <c r="I22" i="4"/>
  <c r="H21" i="4"/>
  <c r="I21" i="4"/>
  <c r="H20" i="4"/>
  <c r="I20" i="4"/>
  <c r="H19" i="4"/>
  <c r="I19" i="4"/>
  <c r="H18" i="4"/>
  <c r="I18" i="4"/>
  <c r="H17" i="4"/>
  <c r="I17" i="4"/>
  <c r="H16" i="4"/>
  <c r="I16" i="4"/>
  <c r="H15" i="4"/>
  <c r="I15" i="4"/>
  <c r="H14" i="4"/>
  <c r="I14" i="4"/>
  <c r="H13" i="4"/>
  <c r="I13" i="4"/>
  <c r="H12" i="4"/>
  <c r="I12" i="4"/>
  <c r="H11" i="4"/>
  <c r="I11" i="4"/>
  <c r="H10" i="4"/>
  <c r="I10" i="4"/>
  <c r="H9" i="4"/>
  <c r="I9" i="4"/>
  <c r="H8" i="4"/>
  <c r="I8" i="4"/>
  <c r="H7" i="4"/>
  <c r="I7" i="4"/>
  <c r="H6" i="4"/>
  <c r="I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McDonald's Corporation</author>
  </authors>
  <commentList>
    <comment ref="E1" authorId="0" shapeId="0" xr:uid="{00000000-0006-0000-0000-000001000000}">
      <text>
        <r>
          <rPr>
            <b/>
            <sz val="8"/>
            <color indexed="81"/>
            <rFont val="Arial"/>
            <family val="2"/>
          </rPr>
          <t>A subjective assessment of the likelihood that the risk will materialize.  This should be completed by the Risk Manager (i.e. in most cases the Project Manager), with input from the appropriate team leaders. The selection options are as follows: High Medium, Low</t>
        </r>
      </text>
    </comment>
    <comment ref="F1" authorId="0" shapeId="0" xr:uid="{00000000-0006-0000-0000-000002000000}">
      <text>
        <r>
          <rPr>
            <b/>
            <sz val="8"/>
            <color indexed="81"/>
            <rFont val="Arial"/>
            <family val="2"/>
          </rPr>
          <t>Based on a subjective assessment by the Risk Manager (i.e. Project Manager), with input from the appropriate team leaders, and is one of the following categories: High, Medium, and Low.</t>
        </r>
        <r>
          <rPr>
            <b/>
            <sz val="8"/>
            <color indexed="81"/>
            <rFont val="Tahoma"/>
            <family val="2"/>
          </rPr>
          <t xml:space="preserve">
</t>
        </r>
      </text>
    </comment>
    <comment ref="G1" authorId="0" shapeId="0" xr:uid="{00000000-0006-0000-0000-000003000000}">
      <text>
        <r>
          <rPr>
            <b/>
            <sz val="8"/>
            <color indexed="81"/>
            <rFont val="Arial"/>
            <family val="2"/>
          </rPr>
          <t xml:space="preserve">The product of the risk probability and the risk impact with values ranging from 1 to 9. </t>
        </r>
        <r>
          <rPr>
            <b/>
            <sz val="8"/>
            <color indexed="81"/>
            <rFont val="Tahoma"/>
            <family val="2"/>
          </rPr>
          <t xml:space="preserve"> </t>
        </r>
      </text>
    </comment>
    <comment ref="H1" authorId="0" shapeId="0" xr:uid="{00000000-0006-0000-0000-000004000000}">
      <text>
        <r>
          <rPr>
            <b/>
            <sz val="8"/>
            <color indexed="81"/>
            <rFont val="Arial"/>
            <family val="2"/>
          </rPr>
          <t xml:space="preserve">Exposure rating of the risk.  The risk exposure is set to the following: Green for risk scores of 1,2, Yellow for risk scores of 3,4, and Red for risk scores of 6,9.  </t>
        </r>
        <r>
          <rPr>
            <b/>
            <sz val="8"/>
            <color indexed="81"/>
            <rFont val="Tahoma"/>
            <family val="2"/>
          </rPr>
          <t xml:space="preserve">
</t>
        </r>
      </text>
    </comment>
    <comment ref="I1" authorId="0" shapeId="0" xr:uid="{00000000-0006-0000-0000-000005000000}">
      <text>
        <r>
          <rPr>
            <b/>
            <sz val="8"/>
            <color indexed="81"/>
            <rFont val="Arial"/>
            <family val="2"/>
          </rPr>
          <t>Actionable response to the risk.  Mitigation strategies are required for yellow and red risk exposures.  Selection options are listed in the dropdown list.</t>
        </r>
      </text>
    </comment>
  </commentList>
</comments>
</file>

<file path=xl/sharedStrings.xml><?xml version="1.0" encoding="utf-8"?>
<sst xmlns="http://schemas.openxmlformats.org/spreadsheetml/2006/main" count="141" uniqueCount="101">
  <si>
    <t>Risk ID</t>
  </si>
  <si>
    <t>Status (*)</t>
  </si>
  <si>
    <t>Date Opened</t>
  </si>
  <si>
    <t>Risk Description and Impact Effect</t>
  </si>
  <si>
    <t>Risk
Probability</t>
  </si>
  <si>
    <t>Risk 
Impact</t>
  </si>
  <si>
    <t>Risk Score
(calc)</t>
  </si>
  <si>
    <t>Exposure 
(calc)</t>
  </si>
  <si>
    <t>Risk Response Strategy (*)</t>
  </si>
  <si>
    <t>Mitigation Response (Contingency Plan) /
Action Log</t>
  </si>
  <si>
    <t>Next Steps</t>
  </si>
  <si>
    <t>Owner</t>
  </si>
  <si>
    <t>Due Date</t>
  </si>
  <si>
    <t>LOOKUP FIELDS</t>
  </si>
  <si>
    <t>Phase</t>
  </si>
  <si>
    <t>Description</t>
  </si>
  <si>
    <t>Raised by</t>
  </si>
  <si>
    <t>Date Noted</t>
  </si>
  <si>
    <t>Target Date</t>
  </si>
  <si>
    <t>Open / Closed</t>
  </si>
  <si>
    <t>Days Past Due</t>
  </si>
  <si>
    <t>Status</t>
  </si>
  <si>
    <t>Resolution/Comments</t>
  </si>
  <si>
    <t>Date Closed</t>
  </si>
  <si>
    <t>ID</t>
  </si>
  <si>
    <t>Decision Maker</t>
  </si>
  <si>
    <t>Decision Description</t>
  </si>
  <si>
    <t>Date Communicated</t>
  </si>
  <si>
    <t>Communicated to</t>
  </si>
  <si>
    <t>Name:</t>
  </si>
  <si>
    <t>Issues and actions</t>
  </si>
  <si>
    <t>#</t>
  </si>
  <si>
    <t>This column is just an ordinal number used to keep track of issue/action items.  The number is useful when referencing an item, and helps avoid the need to read out the whole description</t>
  </si>
  <si>
    <t>This is a relatively brief description of the action item or issue.  It should not be a complete paragraph that describes all the detail.  It is a headline for summary.</t>
  </si>
  <si>
    <t>A field to identify who raised the issue.  This becomes useful when, after a time, the description or origin of the item is not clear.</t>
  </si>
  <si>
    <t>Used to record when the issue or action was first noted.  This helps to understand how much time we had to address an issue or action.</t>
  </si>
  <si>
    <t>There should only ONE person identified as the "owner" of an item.  While a team may be leveraged to completely resolve an item, only one person should be accountable for owning the result of the action or issue.</t>
  </si>
  <si>
    <t>This is a calculated field based on the due date and today's date</t>
  </si>
  <si>
    <t>This is a calculated field based on the days past due.  Tolerance has been set to days late = 5 or less days GREEN
6-10 days late = YELLOW
more than 10 days past due = RED
These tolerances can be changed by updating the formula and the conditional formatting of the cells</t>
  </si>
  <si>
    <t>This is a calculated field based on a close date.  If there is a close date, the status is changed to CLOSED; otherwise the status is OPEN</t>
  </si>
  <si>
    <t>A field to record the expected delivery date for an issue resolution or a closed action item.</t>
  </si>
  <si>
    <t>Actual date item was closed.  This field updates the Days past Due, status and Open/closed fields</t>
  </si>
  <si>
    <t>Please provide any clarifying notes in this field.  However, please note that the longer the explanation, the "taller" the row height will be.  Caution should be exercised in providing "all" the detail vs. impacting the use of the spreadsheet tool.</t>
  </si>
  <si>
    <t>Use of Filtering</t>
  </si>
  <si>
    <t>Each colum of the spreadsheet has a filter "switch" (i.e., a small box with a down arrow) that can be used to clearly show information in the worksheet. Common Filter examples:
 - Owner: to see all the tasks assigned to one owner, select the filter switch by Owner and highlight the name of the owner you want (all other owners will be hidden)
 - Open / Closed: to hide all completed or Closed items, select the filter switch by Open/Closed and highlight OPEN and Blank.  This will display all un-used rows and all open items, hiding the closed items.</t>
  </si>
  <si>
    <t>Risk management template</t>
  </si>
  <si>
    <t>EXPOSURE LEGEND</t>
  </si>
  <si>
    <t>H</t>
  </si>
  <si>
    <t>Yellow</t>
  </si>
  <si>
    <t>Red</t>
  </si>
  <si>
    <t>Risk Prob</t>
  </si>
  <si>
    <t>M</t>
  </si>
  <si>
    <t>Green</t>
  </si>
  <si>
    <t>L</t>
  </si>
  <si>
    <t>Risk Impact</t>
  </si>
  <si>
    <t>Risk Probability</t>
  </si>
  <si>
    <t>High (5)</t>
  </si>
  <si>
    <t>Greater than 70% probability of occurrence</t>
  </si>
  <si>
    <t>Medium (3)</t>
  </si>
  <si>
    <t>Between 30% and 70% probability of occurrence</t>
  </si>
  <si>
    <t>Low (1)</t>
  </si>
  <si>
    <t>Below 30% probability of occurrence</t>
  </si>
  <si>
    <t>Risk that has the potential to have high impact on cost, greatly delay schedule, significantly impair quality or scope</t>
  </si>
  <si>
    <t>Risk that has the potential to have some impact on cost, slightly delay schedule, or slightly impair quality or scope</t>
  </si>
  <si>
    <t>Risk that has relatively little impact on cost, schedule, quality or scope</t>
  </si>
  <si>
    <t>Risk Response Strategy</t>
  </si>
  <si>
    <t>Avoid</t>
  </si>
  <si>
    <t>Change the project plan to eliminate the risk or to protect the objectives of the project from the risk impact</t>
  </si>
  <si>
    <t>Accept</t>
  </si>
  <si>
    <t>Accept the risk, document and communicate it, but don't develop a plan to mitigate the risk. Take a chance that it will not occur</t>
  </si>
  <si>
    <t>Mitigate</t>
  </si>
  <si>
    <r>
      <t>Develop a plan</t>
    </r>
    <r>
      <rPr>
        <b/>
        <i/>
        <sz val="10"/>
        <color theme="1"/>
        <rFont val="Arial"/>
        <family val="2"/>
        <scheme val="minor"/>
      </rPr>
      <t xml:space="preserve"> to reduce the risk</t>
    </r>
    <r>
      <rPr>
        <sz val="10"/>
        <color theme="1"/>
        <rFont val="Arial"/>
        <family val="2"/>
        <scheme val="minor"/>
      </rPr>
      <t xml:space="preserve"> and continually monitor the risk and any identified residual risk</t>
    </r>
  </si>
  <si>
    <t>Transfer</t>
  </si>
  <si>
    <t>Attempt to shift the consequence of risk to a third party</t>
  </si>
  <si>
    <t>Contingency</t>
  </si>
  <si>
    <r>
      <t xml:space="preserve">Prepare a plan </t>
    </r>
    <r>
      <rPr>
        <b/>
        <i/>
        <sz val="10"/>
        <color theme="1"/>
        <rFont val="Arial"/>
        <family val="2"/>
        <scheme val="minor"/>
      </rPr>
      <t xml:space="preserve">to address </t>
    </r>
    <r>
      <rPr>
        <sz val="10"/>
        <color theme="1"/>
        <rFont val="Arial"/>
        <family val="2"/>
        <scheme val="minor"/>
      </rPr>
      <t>the program impacts of the risk</t>
    </r>
    <r>
      <rPr>
        <b/>
        <i/>
        <sz val="10"/>
        <color indexed="10"/>
        <rFont val="Arial"/>
        <family val="2"/>
        <scheme val="minor"/>
      </rPr>
      <t xml:space="preserve"> if </t>
    </r>
    <r>
      <rPr>
        <sz val="10"/>
        <color theme="1"/>
        <rFont val="Arial"/>
        <family val="2"/>
        <scheme val="minor"/>
      </rPr>
      <t>it arises</t>
    </r>
  </si>
  <si>
    <r>
      <rPr>
        <b/>
        <sz val="9"/>
        <color theme="1"/>
        <rFont val="Arial"/>
        <family val="2"/>
        <scheme val="minor"/>
      </rPr>
      <t>NOTE:</t>
    </r>
    <r>
      <rPr>
        <sz val="9"/>
        <color theme="5" tint="-0.24994659260841701"/>
        <rFont val="Arial"/>
        <family val="2"/>
        <scheme val="minor"/>
      </rPr>
      <t xml:space="preserve"> The contingency plan should explain the strategy that will be used to address the risk event should it occur, the time-frame for invoking the contingency plan, who has authority to invoke the contingency plan, and a list of individuals (internal and external) who must be notified that the contingency plan has been invoked.</t>
    </r>
  </si>
  <si>
    <r>
      <rPr>
        <b/>
        <sz val="9"/>
        <color theme="1"/>
        <rFont val="Arial"/>
        <family val="2"/>
        <scheme val="minor"/>
      </rPr>
      <t>NOTE:</t>
    </r>
    <r>
      <rPr>
        <sz val="9"/>
        <color theme="5" tint="-0.24994659260841701"/>
        <rFont val="Arial"/>
        <family val="2"/>
        <scheme val="minor"/>
      </rPr>
      <t xml:space="preserve"> When printing, make sure to update the range of cells to include the entire document</t>
    </r>
  </si>
  <si>
    <t>* denotes drop down field, press both the ALT and ENTER key to create a Carriage Return within a cell</t>
  </si>
  <si>
    <t>Risk Register Field</t>
  </si>
  <si>
    <t>A sequential number manually entered into the spreadsheet. This number should be unique to project related risks.</t>
  </si>
  <si>
    <t>Due Date to Avoid Impact</t>
  </si>
  <si>
    <t>The date the risk must be mitigated to avoid impact.</t>
  </si>
  <si>
    <t>Risk Driver (drop down)</t>
  </si>
  <si>
    <t>Fundamental drivers that cause risk events. Risk sources are both internal and external to the initiative. They identify common areas where risk may originate. A complete list of typical risk drivers can be found in the Risk Identification section of this document and may also be found in the drop down list in the Risk Register template. If you do not find an appropriate risk driver in the drop down list you may type a new one into the column.</t>
  </si>
  <si>
    <t xml:space="preserve">A text description of the risk. The format used should discuss the risk event and the potential consequence / impact effect of the risk. </t>
  </si>
  <si>
    <t>Risk Probability (drop down)</t>
  </si>
  <si>
    <t>A subjective assessment of the likelihood that the risk will materialize. This should be completed by the Program Manager, with input from the appropriate team members. The selection options are as follows: High Medium, Low.</t>
  </si>
  <si>
    <t>Risk Impact (drop down)</t>
  </si>
  <si>
    <t>Based on a subjective assessment by the Program Manager, with input from the appropriate team members, and is one of the following categories: High, Medium, and Low.</t>
  </si>
  <si>
    <t>Risk Score (calculated)</t>
  </si>
  <si>
    <t xml:space="preserve">The product of the risk probability and the risk impact with values ranging from 1 to 9. </t>
  </si>
  <si>
    <t>Risk Exposure (calculated)</t>
  </si>
  <si>
    <t xml:space="preserve">Exposure rating of the risk. The risk exposure is set to the following: Green for risk scores of 1, 2, Yellow for risk scores of 3, 4, and Red for risk scores of 6, 9. </t>
  </si>
  <si>
    <t>Risk Response Strategy (drop down)</t>
  </si>
  <si>
    <t>Actionable response to the risk. Mitigation strategies are required for yellow and red risk exposures. Selection options are listed below: Avoid - Do not continue with this particular aspect, because the risk is so great that the benefits would not be cost effective; Accept - Accept the risk, document and communicate it, but don't develop a plan to mitigate the risk; Mitigate - Develop a plan to reduce the risk and continually monitor the risk and any identified residual risk; Transfer - Attempt to shift the consequence of risk to a third party; Contingency - Prepare a back-up plan to address the program impacts of the risk if it arises.</t>
  </si>
  <si>
    <t>Mitigation Response (Contingency Plan) / Action Log</t>
  </si>
  <si>
    <t>A comments field that is to be updated with all activity associated (e.g. mitigation steps, contingency plan, etc.) with the risk. Each response should be accompanied with the date and initials or name of the person adding the comment.
Note: The contingency plan should explain: The strategy that will be used to address the risk event should it occur, the timeframe for invoking the contingency plan, who has authority to invoke the contingency plan, and a list of individuals (internal and external) who must be notified that the contingency plan has been invoked.</t>
  </si>
  <si>
    <t>The person who owns the risk. This individual is responsible for gathering the necessary information to assess the risk and follow-through on mitigation activities. The Program Manager is responsible for assigning the risk owner.</t>
  </si>
  <si>
    <t>Status (drop down)</t>
  </si>
  <si>
    <t>Indicates the status of the risk. Selection options are: open and closed. The status field is set to closed when either a risk has become an issue or ceases to be a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</si>
</sst>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quot;$&quot;* #,##0_);_(&quot;$&quot;* \(#,##0\);_(&quot;$&quot;* &quot;-&quot;_);_(@_)"/>
    <numFmt numFmtId="164" formatCode="0_);[Red]\(0\)"/>
    <numFmt numFmtId="165" formatCode="m/d/yy;@"/>
    <numFmt numFmtId="166" formatCode="0.0"/>
    <numFmt numFmtId="167" formatCode="[$-409]mmmm\ d\,\ yyyy;@"/>
    <numFmt numFmtId="168" formatCode="m/d;@"/>
    <numFmt numFmtId="169" formatCode="mm/dd/yy;@"/>
    <numFmt numFmtId="170" formatCode="[$-409]d\-mmm;@"/>
  </numFmts>
  <fonts count="39">
    <font>
      <sz val="10"/>
      <color theme="1"/>
      <name val="Arial"/>
      <family val="2"/>
      <scheme val="minor"/>
    </font>
    <font>
      <sz val="11"/>
      <color theme="1"/>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i/>
      <sz val="11"/>
      <color rgb="FF7F7F7F"/>
      <name val="Arial"/>
      <family val="2"/>
      <scheme val="minor"/>
    </font>
    <font>
      <sz val="10"/>
      <color theme="1"/>
      <name val="Arial"/>
      <family val="2"/>
      <scheme val="minor"/>
    </font>
    <font>
      <b/>
      <sz val="10"/>
      <color theme="1"/>
      <name val="Arial"/>
      <family val="2"/>
      <scheme val="minor"/>
    </font>
    <font>
      <b/>
      <sz val="10"/>
      <color theme="4"/>
      <name val="Arial"/>
      <family val="2"/>
      <scheme val="minor"/>
    </font>
    <font>
      <sz val="10"/>
      <color theme="0"/>
      <name val="Arial"/>
      <family val="2"/>
      <scheme val="minor"/>
    </font>
    <font>
      <b/>
      <sz val="14"/>
      <color theme="4"/>
      <name val="Arial"/>
      <family val="2"/>
      <scheme val="minor"/>
    </font>
    <font>
      <b/>
      <sz val="10"/>
      <color theme="0"/>
      <name val="Arial"/>
      <family val="2"/>
      <scheme val="minor"/>
    </font>
    <font>
      <b/>
      <sz val="9"/>
      <color theme="2" tint="-0.499984740745262"/>
      <name val="Arial"/>
      <family val="2"/>
      <scheme val="minor"/>
    </font>
    <font>
      <sz val="12"/>
      <color theme="1"/>
      <name val="Arial"/>
      <family val="2"/>
      <scheme val="minor"/>
    </font>
    <font>
      <sz val="9"/>
      <color theme="5" tint="-0.24994659260841701"/>
      <name val="Arial"/>
      <family val="2"/>
      <scheme val="minor"/>
    </font>
    <font>
      <sz val="9"/>
      <color rgb="FFCC0000"/>
      <name val="Arial"/>
      <family val="2"/>
      <scheme val="minor"/>
    </font>
    <font>
      <sz val="9"/>
      <color theme="6"/>
      <name val="Arial"/>
      <family val="2"/>
      <scheme val="minor"/>
    </font>
    <font>
      <b/>
      <sz val="18"/>
      <color theme="4"/>
      <name val="Arial"/>
      <family val="2"/>
      <scheme val="major"/>
    </font>
    <font>
      <b/>
      <sz val="10"/>
      <color theme="1" tint="-0.499984740745262"/>
      <name val="Arial"/>
      <family val="2"/>
      <scheme val="minor"/>
    </font>
    <font>
      <sz val="11"/>
      <name val="Calibri"/>
      <family val="2"/>
    </font>
    <font>
      <b/>
      <sz val="8"/>
      <color indexed="81"/>
      <name val="Arial"/>
      <family val="2"/>
    </font>
    <font>
      <b/>
      <sz val="8"/>
      <color indexed="81"/>
      <name val="Tahoma"/>
      <family val="2"/>
    </font>
    <font>
      <sz val="12"/>
      <name val="Calibri"/>
      <family val="2"/>
    </font>
    <font>
      <sz val="10"/>
      <name val="Calibri"/>
      <family val="2"/>
    </font>
    <font>
      <sz val="10"/>
      <color theme="0"/>
      <name val="Calibri"/>
      <family val="2"/>
    </font>
    <font>
      <b/>
      <i/>
      <sz val="10"/>
      <color theme="1"/>
      <name val="Arial"/>
      <family val="2"/>
      <scheme val="minor"/>
    </font>
    <font>
      <b/>
      <i/>
      <sz val="10"/>
      <color indexed="10"/>
      <name val="Arial"/>
      <family val="2"/>
      <scheme val="minor"/>
    </font>
    <font>
      <b/>
      <sz val="9"/>
      <color theme="1"/>
      <name val="Arial"/>
      <family val="2"/>
      <scheme val="minor"/>
    </font>
    <font>
      <sz val="11"/>
      <color theme="1"/>
      <name val="Calibri"/>
      <family val="2"/>
    </font>
    <font>
      <b/>
      <sz val="11"/>
      <color theme="1"/>
      <name val="Calibri"/>
      <family val="2"/>
    </font>
    <font>
      <b/>
      <sz val="11"/>
      <color theme="4"/>
      <name val="Calibri"/>
      <family val="2"/>
    </font>
    <font>
      <sz val="11"/>
      <color rgb="FF00B050"/>
      <name val="Calibri"/>
      <family val="2"/>
    </font>
    <font>
      <sz val="11"/>
      <color rgb="FFFF0000"/>
      <name val="Calibri"/>
      <family val="2"/>
    </font>
    <font>
      <sz val="11"/>
      <color rgb="FF0033CC"/>
      <name val="Calibri"/>
      <family val="2"/>
    </font>
    <font>
      <sz val="11"/>
      <color theme="1"/>
      <name val="Calibri"/>
    </font>
    <font>
      <sz val="11"/>
      <name val="Calibri"/>
    </font>
    <font>
      <sz val="11"/>
      <color rgb="FF000000"/>
      <name val="Calibri"/>
      <family val="2"/>
    </font>
  </fonts>
  <fills count="43">
    <fill>
      <patternFill patternType="none"/>
    </fill>
    <fill>
      <patternFill patternType="gray125"/>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rgb="FFCC0000"/>
        <bgColor indexed="64"/>
      </patternFill>
    </fill>
    <fill>
      <patternFill patternType="solid">
        <fgColor theme="7" tint="-0.499984740745262"/>
        <bgColor indexed="64"/>
      </patternFill>
    </fill>
    <fill>
      <patternFill patternType="solid">
        <fgColor rgb="FFF6BB00"/>
        <bgColor indexed="64"/>
      </patternFill>
    </fill>
    <fill>
      <patternFill patternType="solid">
        <fgColor theme="5" tint="0.79998168889431442"/>
        <bgColor indexed="64"/>
      </patternFill>
    </fill>
    <fill>
      <patternFill patternType="solid">
        <fgColor theme="8"/>
        <bgColor indexed="64"/>
      </patternFill>
    </fill>
    <fill>
      <patternFill patternType="solid">
        <fgColor theme="5" tint="0.5999633777886288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8" tint="0.79998168889431442"/>
        <bgColor indexed="64"/>
      </patternFill>
    </fill>
    <fill>
      <patternFill patternType="solid">
        <fgColor indexed="10"/>
        <bgColor indexed="64"/>
      </patternFill>
    </fill>
    <fill>
      <patternFill patternType="solid">
        <fgColor indexed="13"/>
        <bgColor indexed="64"/>
      </patternFill>
    </fill>
    <fill>
      <patternFill patternType="solid">
        <fgColor indexed="11"/>
        <bgColor indexed="64"/>
      </patternFill>
    </fill>
    <fill>
      <patternFill patternType="solid">
        <fgColor rgb="FFFFFF00"/>
        <bgColor indexed="64"/>
      </patternFill>
    </fill>
    <fill>
      <patternFill patternType="solid">
        <fgColor rgb="FF00FF00"/>
        <bgColor indexed="64"/>
      </patternFill>
    </fill>
  </fills>
  <borders count="28">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CC0000"/>
      </left>
      <right style="thin">
        <color rgb="FFCC0000"/>
      </right>
      <top style="thin">
        <color rgb="FFCC0000"/>
      </top>
      <bottom style="thin">
        <color rgb="FFCC0000"/>
      </bottom>
      <diagonal/>
    </border>
    <border>
      <left style="thin">
        <color theme="5" tint="-0.24994659260841701"/>
      </left>
      <right style="thin">
        <color theme="5" tint="-0.24994659260841701"/>
      </right>
      <top style="thin">
        <color theme="5" tint="-0.24994659260841701"/>
      </top>
      <bottom style="thin">
        <color theme="5" tint="-0.24994659260841701"/>
      </bottom>
      <diagonal/>
    </border>
    <border>
      <left style="thin">
        <color theme="6"/>
      </left>
      <right style="thin">
        <color theme="6"/>
      </right>
      <top style="thin">
        <color theme="6"/>
      </top>
      <bottom style="thin">
        <color theme="6"/>
      </bottom>
      <diagonal/>
    </border>
    <border>
      <left style="thin">
        <color theme="5" tint="0.39994506668294322"/>
      </left>
      <right style="thin">
        <color theme="5" tint="0.39994506668294322"/>
      </right>
      <top/>
      <bottom style="thin">
        <color theme="5" tint="0.39994506668294322"/>
      </bottom>
      <diagonal/>
    </border>
    <border>
      <left style="thin">
        <color theme="5" tint="0.39994506668294322"/>
      </left>
      <right/>
      <top/>
      <bottom style="thin">
        <color theme="5" tint="0.39994506668294322"/>
      </bottom>
      <diagonal/>
    </border>
    <border>
      <left style="thin">
        <color theme="5" tint="0.39994506668294322"/>
      </left>
      <right style="thin">
        <color theme="5" tint="0.39994506668294322"/>
      </right>
      <top style="thin">
        <color theme="5" tint="0.39994506668294322"/>
      </top>
      <bottom style="thin">
        <color theme="5" tint="0.39994506668294322"/>
      </bottom>
      <diagonal/>
    </border>
    <border>
      <left style="thin">
        <color theme="5" tint="0.39994506668294322"/>
      </left>
      <right/>
      <top style="thin">
        <color theme="5" tint="0.39994506668294322"/>
      </top>
      <bottom style="thin">
        <color theme="5" tint="0.39994506668294322"/>
      </bottom>
      <diagonal/>
    </border>
    <border>
      <left style="thin">
        <color theme="5" tint="0.39994506668294322"/>
      </left>
      <right style="thin">
        <color theme="5" tint="0.39994506668294322"/>
      </right>
      <top style="thin">
        <color theme="5" tint="0.39994506668294322"/>
      </top>
      <bottom/>
      <diagonal/>
    </border>
    <border>
      <left style="thin">
        <color theme="5" tint="0.39994506668294322"/>
      </left>
      <right/>
      <top style="thin">
        <color theme="5" tint="0.39994506668294322"/>
      </top>
      <bottom/>
      <diagonal/>
    </border>
    <border>
      <left/>
      <right/>
      <top/>
      <bottom style="thin">
        <color theme="5" tint="0.79998168889431442"/>
      </bottom>
      <diagonal/>
    </border>
    <border>
      <left/>
      <right/>
      <top style="thin">
        <color theme="5" tint="0.79998168889431442"/>
      </top>
      <bottom style="thin">
        <color theme="5" tint="0.79998168889431442"/>
      </bottom>
      <diagonal/>
    </border>
    <border>
      <left/>
      <right/>
      <top style="thin">
        <color theme="5" tint="0.79998168889431442"/>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theme="1"/>
      </right>
      <top style="thin">
        <color indexed="64"/>
      </top>
      <bottom style="thin">
        <color theme="1"/>
      </bottom>
      <diagonal/>
    </border>
    <border>
      <left style="thin">
        <color theme="1"/>
      </left>
      <right style="thin">
        <color theme="1"/>
      </right>
      <top style="thin">
        <color indexed="64"/>
      </top>
      <bottom style="thin">
        <color theme="1"/>
      </bottom>
      <diagonal/>
    </border>
    <border>
      <left style="thin">
        <color theme="1"/>
      </left>
      <right style="thin">
        <color indexed="64"/>
      </right>
      <top style="thin">
        <color indexed="64"/>
      </top>
      <bottom style="thin">
        <color theme="1"/>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style="thin">
        <color indexed="64"/>
      </left>
      <right style="thin">
        <color theme="1"/>
      </right>
      <top style="thin">
        <color theme="1"/>
      </top>
      <bottom style="thin">
        <color indexed="64"/>
      </bottom>
      <diagonal/>
    </border>
    <border>
      <left style="thin">
        <color theme="1"/>
      </left>
      <right style="thin">
        <color theme="1"/>
      </right>
      <top style="thin">
        <color theme="1"/>
      </top>
      <bottom style="thin">
        <color indexed="64"/>
      </bottom>
      <diagonal/>
    </border>
    <border>
      <left style="thin">
        <color theme="1"/>
      </left>
      <right style="thin">
        <color indexed="64"/>
      </right>
      <top style="thin">
        <color theme="1"/>
      </top>
      <bottom style="thin">
        <color indexed="64"/>
      </bottom>
      <diagonal/>
    </border>
  </borders>
  <cellStyleXfs count="47">
    <xf numFmtId="0" fontId="0" fillId="0" borderId="0">
      <alignment vertical="top" wrapText="1"/>
    </xf>
    <xf numFmtId="0" fontId="19" fillId="30" borderId="0" applyNumberFormat="0" applyBorder="0" applyProtection="0"/>
    <xf numFmtId="0" fontId="12" fillId="0" borderId="0" applyNumberFormat="0" applyProtection="0"/>
    <xf numFmtId="0" fontId="10" fillId="0" borderId="0" applyNumberFormat="0" applyProtection="0">
      <alignment wrapText="1"/>
    </xf>
    <xf numFmtId="0" fontId="10" fillId="28" borderId="0" applyNumberFormat="0" applyProtection="0">
      <alignment wrapText="1"/>
    </xf>
    <xf numFmtId="0" fontId="14" fillId="37" borderId="0" applyNumberFormat="0" applyBorder="0" applyProtection="0">
      <alignment vertical="top" wrapText="1"/>
    </xf>
    <xf numFmtId="0" fontId="11" fillId="26" borderId="0" applyNumberFormat="0" applyBorder="0" applyProtection="0">
      <alignment wrapText="1"/>
    </xf>
    <xf numFmtId="0" fontId="11" fillId="25" borderId="0" applyNumberFormat="0" applyBorder="0" applyProtection="0">
      <alignment wrapText="1"/>
    </xf>
    <xf numFmtId="0" fontId="8" fillId="27" borderId="0" applyNumberFormat="0" applyBorder="0" applyProtection="0">
      <alignment wrapText="1"/>
    </xf>
    <xf numFmtId="0" fontId="2" fillId="2" borderId="1" applyNumberFormat="0" applyAlignment="0" applyProtection="0"/>
    <xf numFmtId="0" fontId="3" fillId="3" borderId="2" applyNumberFormat="0" applyAlignment="0" applyProtection="0"/>
    <xf numFmtId="0" fontId="4" fillId="3" borderId="1" applyNumberFormat="0" applyAlignment="0" applyProtection="0"/>
    <xf numFmtId="0" fontId="5" fillId="0" borderId="3" applyNumberFormat="0" applyFill="0" applyAlignment="0" applyProtection="0"/>
    <xf numFmtId="0" fontId="6" fillId="4" borderId="4" applyNumberFormat="0" applyAlignment="0" applyProtection="0"/>
    <xf numFmtId="0" fontId="17" fillId="0" borderId="6" applyNumberFormat="0" applyFill="0" applyProtection="0">
      <alignment vertical="center" wrapText="1"/>
    </xf>
    <xf numFmtId="0" fontId="1" fillId="5" borderId="5" applyNumberFormat="0" applyFont="0" applyAlignment="0" applyProtection="0"/>
    <xf numFmtId="0" fontId="7" fillId="0" borderId="0" applyNumberFormat="0" applyFill="0" applyBorder="0" applyAlignment="0" applyProtection="0"/>
    <xf numFmtId="3" fontId="13" fillId="29" borderId="0" applyBorder="0" applyProtection="0">
      <alignment vertical="center" wrapText="1"/>
    </xf>
    <xf numFmtId="0" fontId="13" fillId="6"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20" fillId="10" borderId="0" applyNumberFormat="0" applyBorder="0" applyAlignment="0" applyProtection="0"/>
    <xf numFmtId="0" fontId="20" fillId="11" borderId="0" applyNumberFormat="0" applyBorder="0" applyAlignment="0" applyProtection="0"/>
    <xf numFmtId="0" fontId="13" fillId="12" borderId="0" applyNumberFormat="0" applyBorder="0" applyAlignment="0" applyProtection="0"/>
    <xf numFmtId="0" fontId="20"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20" fillId="16" borderId="0" applyNumberFormat="0" applyBorder="0" applyAlignment="0" applyProtection="0"/>
    <xf numFmtId="0" fontId="9" fillId="17" borderId="0" applyNumberFormat="0" applyBorder="0" applyAlignment="0" applyProtection="0"/>
    <xf numFmtId="0" fontId="13" fillId="18" borderId="0" applyNumberFormat="0" applyBorder="0" applyAlignment="0" applyProtection="0"/>
    <xf numFmtId="0" fontId="20"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2" borderId="0" applyNumberFormat="0" applyBorder="0" applyAlignment="0" applyProtection="0"/>
    <xf numFmtId="0" fontId="13" fillId="23" borderId="0" applyNumberFormat="0" applyBorder="0" applyAlignment="0" applyProtection="0"/>
    <xf numFmtId="0" fontId="10" fillId="0" borderId="0">
      <alignment vertical="center" wrapText="1"/>
    </xf>
    <xf numFmtId="0" fontId="8" fillId="0" borderId="0">
      <alignment vertical="center" wrapText="1"/>
    </xf>
    <xf numFmtId="0" fontId="16" fillId="0" borderId="7">
      <alignment vertical="center" wrapText="1"/>
      <protection locked="0"/>
    </xf>
    <xf numFmtId="0" fontId="18" fillId="0" borderId="8">
      <alignment vertical="center" wrapText="1"/>
      <protection locked="0"/>
    </xf>
    <xf numFmtId="42" fontId="8" fillId="0" borderId="0" applyFont="0" applyFill="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3" borderId="0" applyNumberFormat="0" applyBorder="0" applyAlignment="0" applyProtection="0"/>
    <xf numFmtId="0" fontId="20" fillId="34" borderId="0" applyNumberFormat="0" applyBorder="0" applyAlignment="0" applyProtection="0"/>
    <xf numFmtId="0" fontId="20" fillId="35" borderId="0" applyNumberFormat="0" applyBorder="0" applyAlignment="0" applyProtection="0"/>
    <xf numFmtId="0" fontId="20" fillId="36" borderId="0" applyNumberFormat="0" applyBorder="0" applyAlignment="0" applyProtection="0"/>
  </cellStyleXfs>
  <cellXfs count="132">
    <xf numFmtId="0" fontId="0" fillId="0" borderId="0" xfId="0">
      <alignment vertical="top" wrapText="1"/>
    </xf>
    <xf numFmtId="0" fontId="0" fillId="24" borderId="0" xfId="0" applyFill="1" applyProtection="1">
      <alignment vertical="top" wrapText="1"/>
      <protection locked="0"/>
    </xf>
    <xf numFmtId="0" fontId="15" fillId="0" borderId="0" xfId="0" applyFont="1" applyProtection="1">
      <alignment vertical="top" wrapText="1"/>
      <protection locked="0"/>
    </xf>
    <xf numFmtId="0" fontId="0" fillId="0" borderId="0" xfId="0" applyProtection="1">
      <alignment vertical="top" wrapText="1"/>
      <protection locked="0"/>
    </xf>
    <xf numFmtId="0" fontId="12" fillId="0" borderId="0" xfId="2"/>
    <xf numFmtId="0" fontId="0" fillId="0" borderId="0" xfId="0" applyAlignment="1">
      <alignment vertical="top"/>
    </xf>
    <xf numFmtId="0" fontId="10" fillId="0" borderId="0" xfId="36">
      <alignment vertical="center" wrapText="1"/>
    </xf>
    <xf numFmtId="0" fontId="10" fillId="0" borderId="15" xfId="0" applyFont="1" applyBorder="1" applyAlignment="1">
      <alignment horizontal="right" vertical="center" wrapText="1" indent="1"/>
    </xf>
    <xf numFmtId="0" fontId="0" fillId="0" borderId="15" xfId="0" applyBorder="1" applyAlignment="1">
      <alignment vertical="center"/>
    </xf>
    <xf numFmtId="0" fontId="0" fillId="0" borderId="15" xfId="0" applyBorder="1" applyAlignment="1">
      <alignment vertical="center" wrapText="1"/>
    </xf>
    <xf numFmtId="0" fontId="0" fillId="0" borderId="15" xfId="0" applyBorder="1">
      <alignment vertical="top" wrapText="1"/>
    </xf>
    <xf numFmtId="0" fontId="0" fillId="0" borderId="15" xfId="0" applyBorder="1" applyProtection="1">
      <alignment vertical="top" wrapText="1"/>
      <protection locked="0"/>
    </xf>
    <xf numFmtId="0" fontId="10" fillId="0" borderId="16" xfId="0" applyFont="1" applyBorder="1" applyAlignment="1">
      <alignment horizontal="right" vertical="center" wrapText="1" indent="1"/>
    </xf>
    <xf numFmtId="0" fontId="0" fillId="0" borderId="16" xfId="0" applyBorder="1" applyAlignment="1">
      <alignment vertical="center"/>
    </xf>
    <xf numFmtId="0" fontId="0" fillId="0" borderId="16" xfId="0" applyBorder="1" applyAlignment="1">
      <alignment vertical="center" wrapText="1"/>
    </xf>
    <xf numFmtId="0" fontId="0" fillId="0" borderId="16" xfId="0" applyBorder="1">
      <alignment vertical="top" wrapText="1"/>
    </xf>
    <xf numFmtId="0" fontId="0" fillId="0" borderId="16" xfId="0" applyBorder="1" applyProtection="1">
      <alignment vertical="top" wrapText="1"/>
      <protection locked="0"/>
    </xf>
    <xf numFmtId="0" fontId="10" fillId="0" borderId="17" xfId="0" applyFont="1" applyBorder="1" applyAlignment="1">
      <alignment horizontal="right" vertical="center" wrapText="1" indent="1"/>
    </xf>
    <xf numFmtId="0" fontId="0" fillId="0" borderId="17" xfId="0" applyBorder="1" applyAlignment="1">
      <alignment vertical="center"/>
    </xf>
    <xf numFmtId="0" fontId="0" fillId="0" borderId="17" xfId="0" applyBorder="1">
      <alignment vertical="top" wrapText="1"/>
    </xf>
    <xf numFmtId="0" fontId="0" fillId="0" borderId="17" xfId="0" applyBorder="1" applyProtection="1">
      <alignment vertical="top" wrapText="1"/>
      <protection locked="0"/>
    </xf>
    <xf numFmtId="0" fontId="21" fillId="0" borderId="0" xfId="0" applyFont="1" applyAlignment="1">
      <alignment vertical="center" wrapText="1"/>
    </xf>
    <xf numFmtId="0" fontId="10" fillId="0" borderId="0" xfId="3" applyAlignment="1"/>
    <xf numFmtId="0" fontId="24" fillId="0" borderId="0" xfId="0" applyFont="1" applyAlignment="1"/>
    <xf numFmtId="0" fontId="9" fillId="0" borderId="0" xfId="0" applyFont="1" applyAlignment="1">
      <alignment horizontal="right" vertical="top" wrapText="1"/>
    </xf>
    <xf numFmtId="167" fontId="25" fillId="39" borderId="19" xfId="0" applyNumberFormat="1" applyFont="1" applyFill="1" applyBorder="1" applyAlignment="1">
      <alignment horizontal="left"/>
    </xf>
    <xf numFmtId="0" fontId="0" fillId="0" borderId="15" xfId="0" applyBorder="1" applyAlignment="1" applyProtection="1">
      <alignment vertical="center"/>
      <protection locked="0"/>
    </xf>
    <xf numFmtId="0" fontId="0" fillId="0" borderId="0" xfId="0" applyAlignment="1" applyProtection="1">
      <alignment vertical="center" wrapText="1"/>
      <protection locked="0"/>
    </xf>
    <xf numFmtId="0" fontId="0" fillId="0" borderId="16" xfId="0" applyBorder="1" applyAlignment="1" applyProtection="1">
      <alignment vertical="center"/>
      <protection locked="0"/>
    </xf>
    <xf numFmtId="0" fontId="0" fillId="0" borderId="17" xfId="0" applyBorder="1" applyAlignment="1" applyProtection="1">
      <alignment vertical="center"/>
      <protection locked="0"/>
    </xf>
    <xf numFmtId="0" fontId="0" fillId="0" borderId="15" xfId="0" applyBorder="1" applyAlignment="1" applyProtection="1">
      <alignment vertical="center" wrapText="1"/>
      <protection locked="0"/>
    </xf>
    <xf numFmtId="0" fontId="0" fillId="0" borderId="16" xfId="0" applyBorder="1" applyAlignment="1" applyProtection="1">
      <alignment vertical="center" wrapText="1"/>
      <protection locked="0"/>
    </xf>
    <xf numFmtId="0" fontId="0" fillId="0" borderId="17" xfId="0" applyBorder="1" applyAlignment="1" applyProtection="1">
      <alignment vertical="center" wrapText="1"/>
      <protection locked="0"/>
    </xf>
    <xf numFmtId="0" fontId="9" fillId="0" borderId="15" xfId="0" applyFont="1" applyBorder="1" applyAlignment="1">
      <alignment horizontal="right" vertical="center" wrapText="1"/>
    </xf>
    <xf numFmtId="0" fontId="9" fillId="0" borderId="16" xfId="0" applyFont="1" applyBorder="1" applyAlignment="1">
      <alignment horizontal="right" vertical="center" wrapText="1"/>
    </xf>
    <xf numFmtId="0" fontId="15" fillId="0" borderId="16" xfId="0" applyFont="1" applyBorder="1" applyProtection="1">
      <alignment vertical="top" wrapText="1"/>
      <protection locked="0"/>
    </xf>
    <xf numFmtId="0" fontId="9" fillId="0" borderId="17" xfId="0" applyFont="1" applyBorder="1" applyAlignment="1">
      <alignment horizontal="right" vertical="center" wrapText="1"/>
    </xf>
    <xf numFmtId="0" fontId="31" fillId="28" borderId="18" xfId="0" applyFont="1" applyFill="1" applyBorder="1" applyAlignment="1">
      <alignment horizontal="center" vertical="center" wrapText="1"/>
    </xf>
    <xf numFmtId="169" fontId="31" fillId="28" borderId="18" xfId="0" applyNumberFormat="1" applyFont="1" applyFill="1" applyBorder="1" applyAlignment="1">
      <alignment horizontal="center" vertical="center" wrapText="1"/>
    </xf>
    <xf numFmtId="0" fontId="30" fillId="0" borderId="0" xfId="0" applyFont="1" applyAlignment="1">
      <alignment vertical="center" wrapText="1"/>
    </xf>
    <xf numFmtId="0" fontId="30" fillId="0" borderId="0" xfId="0" applyFont="1" applyAlignment="1">
      <alignment horizontal="center" vertical="center" wrapText="1"/>
    </xf>
    <xf numFmtId="169" fontId="30" fillId="0" borderId="0" xfId="0" applyNumberFormat="1" applyFont="1" applyAlignment="1">
      <alignment horizontal="center" vertical="center" wrapText="1"/>
    </xf>
    <xf numFmtId="16" fontId="21" fillId="0" borderId="0" xfId="0" applyNumberFormat="1" applyFont="1" applyAlignment="1">
      <alignment vertical="center" wrapText="1"/>
    </xf>
    <xf numFmtId="0" fontId="21" fillId="0" borderId="0" xfId="0" applyFont="1" applyAlignment="1">
      <alignment horizontal="center" vertical="center" wrapText="1"/>
    </xf>
    <xf numFmtId="169" fontId="21" fillId="0" borderId="0" xfId="0" applyNumberFormat="1" applyFont="1" applyAlignment="1">
      <alignment vertical="center" wrapText="1"/>
    </xf>
    <xf numFmtId="169" fontId="21" fillId="0" borderId="0" xfId="0" applyNumberFormat="1" applyFont="1" applyAlignment="1">
      <alignment horizontal="center" vertical="center" wrapText="1"/>
    </xf>
    <xf numFmtId="168" fontId="31" fillId="28" borderId="18" xfId="0" applyNumberFormat="1" applyFont="1" applyFill="1" applyBorder="1" applyAlignment="1">
      <alignment horizontal="center" vertical="center" wrapText="1"/>
    </xf>
    <xf numFmtId="168" fontId="30" fillId="0" borderId="0" xfId="0" applyNumberFormat="1" applyFont="1" applyAlignment="1">
      <alignment vertical="center" wrapText="1"/>
    </xf>
    <xf numFmtId="0" fontId="32" fillId="28" borderId="18" xfId="4" applyFont="1" applyBorder="1" applyAlignment="1">
      <alignment horizontal="center" vertical="center" wrapText="1"/>
    </xf>
    <xf numFmtId="0" fontId="21" fillId="0" borderId="0" xfId="0" applyFont="1" applyAlignment="1">
      <alignment horizontal="left" vertical="center" wrapText="1"/>
    </xf>
    <xf numFmtId="0" fontId="32" fillId="28" borderId="0" xfId="4" applyFont="1" applyAlignment="1">
      <alignment horizontal="center" vertical="center" wrapText="1"/>
    </xf>
    <xf numFmtId="0" fontId="32" fillId="28" borderId="0" xfId="4" applyFont="1" applyAlignment="1">
      <alignment vertical="center" wrapText="1"/>
    </xf>
    <xf numFmtId="169" fontId="32" fillId="28" borderId="0" xfId="4" applyNumberFormat="1" applyFont="1" applyAlignment="1">
      <alignment horizontal="center" vertical="center" wrapText="1"/>
    </xf>
    <xf numFmtId="164" fontId="32" fillId="28" borderId="0" xfId="4" applyNumberFormat="1" applyFont="1" applyAlignment="1">
      <alignment horizontal="center" vertical="center" wrapText="1"/>
    </xf>
    <xf numFmtId="0" fontId="30" fillId="0" borderId="0" xfId="0" applyFont="1" applyAlignment="1" applyProtection="1">
      <alignment vertical="center" wrapText="1"/>
      <protection locked="0"/>
    </xf>
    <xf numFmtId="0" fontId="21" fillId="0" borderId="9" xfId="0" applyFont="1" applyBorder="1" applyAlignment="1" applyProtection="1">
      <alignment horizontal="center" vertical="center" wrapText="1"/>
      <protection locked="0"/>
    </xf>
    <xf numFmtId="0" fontId="21" fillId="0" borderId="9" xfId="0" applyFont="1" applyBorder="1" applyAlignment="1" applyProtection="1">
      <alignment vertical="center" wrapText="1"/>
      <protection locked="0"/>
    </xf>
    <xf numFmtId="169" fontId="21" fillId="0" borderId="9" xfId="0" applyNumberFormat="1" applyFont="1" applyBorder="1" applyAlignment="1" applyProtection="1">
      <alignment horizontal="center" vertical="center" wrapText="1"/>
      <protection locked="0"/>
    </xf>
    <xf numFmtId="0" fontId="21" fillId="0" borderId="9" xfId="0" applyFont="1" applyBorder="1" applyAlignment="1">
      <alignment horizontal="center" vertical="center" wrapText="1"/>
    </xf>
    <xf numFmtId="164" fontId="21" fillId="0" borderId="9" xfId="0" applyNumberFormat="1" applyFont="1" applyBorder="1" applyAlignment="1">
      <alignment horizontal="center" vertical="center" wrapText="1"/>
    </xf>
    <xf numFmtId="166" fontId="33" fillId="0" borderId="9" xfId="0" applyNumberFormat="1" applyFont="1" applyBorder="1" applyAlignment="1">
      <alignment horizontal="center" vertical="center" wrapText="1"/>
    </xf>
    <xf numFmtId="0" fontId="21" fillId="0" borderId="10" xfId="0" applyFont="1" applyBorder="1" applyAlignment="1" applyProtection="1">
      <alignment vertical="center" wrapText="1"/>
      <protection locked="0"/>
    </xf>
    <xf numFmtId="165" fontId="21" fillId="0" borderId="9" xfId="0" applyNumberFormat="1" applyFont="1" applyBorder="1" applyAlignment="1" applyProtection="1">
      <alignment horizontal="center" vertical="center" wrapText="1"/>
      <protection locked="0"/>
    </xf>
    <xf numFmtId="0" fontId="21" fillId="0" borderId="11" xfId="0" applyFont="1" applyBorder="1" applyAlignment="1" applyProtection="1">
      <alignment horizontal="center" vertical="center" wrapText="1"/>
      <protection locked="0"/>
    </xf>
    <xf numFmtId="0" fontId="21" fillId="0" borderId="11" xfId="0" applyFont="1" applyBorder="1" applyAlignment="1" applyProtection="1">
      <alignment vertical="center" wrapText="1"/>
      <protection locked="0"/>
    </xf>
    <xf numFmtId="169" fontId="21" fillId="0" borderId="11" xfId="0" applyNumberFormat="1" applyFont="1" applyBorder="1" applyAlignment="1" applyProtection="1">
      <alignment horizontal="center" vertical="center" wrapText="1"/>
      <protection locked="0"/>
    </xf>
    <xf numFmtId="0" fontId="21" fillId="0" borderId="11" xfId="0" applyFont="1" applyBorder="1" applyAlignment="1">
      <alignment horizontal="center" vertical="center" wrapText="1"/>
    </xf>
    <xf numFmtId="164" fontId="21" fillId="0" borderId="11" xfId="0" applyNumberFormat="1" applyFont="1" applyBorder="1" applyAlignment="1">
      <alignment horizontal="center" vertical="center" wrapText="1"/>
    </xf>
    <xf numFmtId="166" fontId="21" fillId="0" borderId="11" xfId="0" applyNumberFormat="1" applyFont="1" applyBorder="1" applyAlignment="1">
      <alignment horizontal="center" vertical="center" wrapText="1"/>
    </xf>
    <xf numFmtId="0" fontId="21" fillId="0" borderId="12" xfId="0" applyFont="1" applyBorder="1" applyAlignment="1" applyProtection="1">
      <alignment vertical="center" wrapText="1"/>
      <protection locked="0"/>
    </xf>
    <xf numFmtId="165" fontId="21" fillId="0" borderId="11" xfId="0" applyNumberFormat="1" applyFont="1" applyBorder="1" applyAlignment="1" applyProtection="1">
      <alignment horizontal="center" vertical="center" wrapText="1"/>
      <protection locked="0"/>
    </xf>
    <xf numFmtId="0" fontId="21" fillId="0" borderId="12" xfId="0" quotePrefix="1" applyFont="1" applyBorder="1" applyAlignment="1" applyProtection="1">
      <alignment vertical="center" wrapText="1"/>
      <protection locked="0"/>
    </xf>
    <xf numFmtId="16" fontId="21" fillId="0" borderId="12" xfId="0" applyNumberFormat="1" applyFont="1" applyBorder="1" applyAlignment="1" applyProtection="1">
      <alignment vertical="center" wrapText="1"/>
      <protection locked="0"/>
    </xf>
    <xf numFmtId="0" fontId="34" fillId="0" borderId="11" xfId="0" applyFont="1" applyBorder="1" applyAlignment="1" applyProtection="1">
      <alignment vertical="center" wrapText="1"/>
      <protection locked="0"/>
    </xf>
    <xf numFmtId="0" fontId="33" fillId="0" borderId="12" xfId="0" applyFont="1" applyBorder="1" applyAlignment="1" applyProtection="1">
      <alignment vertical="center" wrapText="1"/>
      <protection locked="0"/>
    </xf>
    <xf numFmtId="0" fontId="21" fillId="0" borderId="13" xfId="0" applyFont="1" applyBorder="1" applyAlignment="1" applyProtection="1">
      <alignment horizontal="center" vertical="center" wrapText="1"/>
      <protection locked="0"/>
    </xf>
    <xf numFmtId="0" fontId="21" fillId="0" borderId="13" xfId="0" applyFont="1" applyBorder="1" applyAlignment="1" applyProtection="1">
      <alignment vertical="center" wrapText="1"/>
      <protection locked="0"/>
    </xf>
    <xf numFmtId="169" fontId="21" fillId="0" borderId="13" xfId="0" applyNumberFormat="1" applyFont="1" applyBorder="1" applyAlignment="1" applyProtection="1">
      <alignment horizontal="center" vertical="center" wrapText="1"/>
      <protection locked="0"/>
    </xf>
    <xf numFmtId="0" fontId="21" fillId="0" borderId="13" xfId="0" applyFont="1" applyBorder="1" applyAlignment="1">
      <alignment horizontal="center" vertical="center" wrapText="1"/>
    </xf>
    <xf numFmtId="164" fontId="21" fillId="0" borderId="13" xfId="0" applyNumberFormat="1" applyFont="1" applyBorder="1" applyAlignment="1">
      <alignment horizontal="center" vertical="center" wrapText="1"/>
    </xf>
    <xf numFmtId="0" fontId="21" fillId="0" borderId="14" xfId="0" applyFont="1" applyBorder="1" applyAlignment="1" applyProtection="1">
      <alignment vertical="center" wrapText="1"/>
      <protection locked="0"/>
    </xf>
    <xf numFmtId="165" fontId="21" fillId="0" borderId="13" xfId="0" applyNumberFormat="1" applyFont="1" applyBorder="1" applyAlignment="1" applyProtection="1">
      <alignment horizontal="center" vertical="center" wrapText="1"/>
      <protection locked="0"/>
    </xf>
    <xf numFmtId="169" fontId="30" fillId="0" borderId="0" xfId="0" applyNumberFormat="1" applyFont="1" applyAlignment="1" applyProtection="1">
      <alignment vertical="center" wrapText="1"/>
      <protection locked="0"/>
    </xf>
    <xf numFmtId="0" fontId="21" fillId="0" borderId="0" xfId="0" applyFont="1" applyAlignment="1">
      <alignment horizontal="left" vertical="top" wrapText="1"/>
    </xf>
    <xf numFmtId="169" fontId="32" fillId="28" borderId="0" xfId="4" applyNumberFormat="1" applyFont="1" applyAlignment="1">
      <alignment horizontal="left" vertical="center" wrapText="1"/>
    </xf>
    <xf numFmtId="169" fontId="21" fillId="0" borderId="9" xfId="0" applyNumberFormat="1" applyFont="1" applyBorder="1" applyAlignment="1" applyProtection="1">
      <alignment horizontal="left" vertical="center" wrapText="1"/>
      <protection locked="0"/>
    </xf>
    <xf numFmtId="169" fontId="21" fillId="0" borderId="11" xfId="0" applyNumberFormat="1" applyFont="1" applyBorder="1" applyAlignment="1" applyProtection="1">
      <alignment horizontal="left" vertical="center" wrapText="1"/>
      <protection locked="0"/>
    </xf>
    <xf numFmtId="169" fontId="21" fillId="0" borderId="13" xfId="0" applyNumberFormat="1" applyFont="1" applyBorder="1" applyAlignment="1" applyProtection="1">
      <alignment horizontal="left" vertical="center" wrapText="1"/>
      <protection locked="0"/>
    </xf>
    <xf numFmtId="169" fontId="30" fillId="0" borderId="0" xfId="0" applyNumberFormat="1" applyFont="1" applyAlignment="1" applyProtection="1">
      <alignment horizontal="left" vertical="center" wrapText="1"/>
      <protection locked="0"/>
    </xf>
    <xf numFmtId="165" fontId="21" fillId="0" borderId="0" xfId="0" applyNumberFormat="1" applyFont="1" applyAlignment="1">
      <alignment horizontal="center" vertical="center" wrapText="1"/>
    </xf>
    <xf numFmtId="0" fontId="21" fillId="0" borderId="0" xfId="0" applyFont="1">
      <alignment vertical="top" wrapText="1"/>
    </xf>
    <xf numFmtId="0" fontId="35" fillId="0" borderId="0" xfId="0" applyFont="1" applyAlignment="1">
      <alignment vertical="center" wrapText="1"/>
    </xf>
    <xf numFmtId="169" fontId="35" fillId="0" borderId="0" xfId="0" applyNumberFormat="1" applyFont="1" applyAlignment="1">
      <alignment horizontal="center" vertical="center" wrapText="1"/>
    </xf>
    <xf numFmtId="0" fontId="35" fillId="0" borderId="0" xfId="0" applyFont="1" applyAlignment="1">
      <alignment horizontal="center" vertical="center" wrapText="1"/>
    </xf>
    <xf numFmtId="14" fontId="21" fillId="0" borderId="0" xfId="0" applyNumberFormat="1" applyFont="1" applyAlignment="1">
      <alignment horizontal="center" vertical="center" wrapText="1"/>
    </xf>
    <xf numFmtId="0" fontId="33" fillId="0" borderId="0" xfId="0" applyFont="1" applyAlignment="1">
      <alignment horizontal="center" vertical="center" wrapText="1"/>
    </xf>
    <xf numFmtId="0" fontId="34" fillId="0" borderId="0" xfId="0" applyFont="1" applyAlignment="1">
      <alignment horizontal="center" vertical="center" wrapText="1"/>
    </xf>
    <xf numFmtId="0" fontId="36" fillId="0" borderId="0" xfId="0" applyFont="1" applyAlignment="1">
      <alignment horizontal="left" vertical="center" wrapText="1"/>
    </xf>
    <xf numFmtId="0" fontId="37" fillId="0" borderId="0" xfId="0" applyFont="1" applyAlignment="1">
      <alignment horizontal="left" vertical="center" wrapText="1"/>
    </xf>
    <xf numFmtId="0" fontId="37" fillId="0" borderId="0" xfId="0" applyFont="1" applyAlignment="1">
      <alignment horizontal="left" vertical="top" wrapText="1"/>
    </xf>
    <xf numFmtId="0" fontId="37" fillId="0" borderId="0" xfId="0" applyFont="1">
      <alignment vertical="top" wrapText="1"/>
    </xf>
    <xf numFmtId="0" fontId="36" fillId="0" borderId="0" xfId="0" applyFont="1">
      <alignment vertical="top" wrapText="1"/>
    </xf>
    <xf numFmtId="16" fontId="30" fillId="0" borderId="0" xfId="0" applyNumberFormat="1" applyFont="1" applyAlignment="1">
      <alignment horizontal="center" vertical="center" wrapText="1"/>
    </xf>
    <xf numFmtId="169" fontId="38" fillId="0" borderId="0" xfId="0" applyNumberFormat="1" applyFont="1" applyAlignment="1">
      <alignment horizontal="center" vertical="center" wrapText="1"/>
    </xf>
    <xf numFmtId="170" fontId="21" fillId="0" borderId="0" xfId="0" applyNumberFormat="1" applyFont="1" applyAlignment="1">
      <alignment horizontal="center" vertical="center" wrapText="1"/>
    </xf>
    <xf numFmtId="0" fontId="0" fillId="0" borderId="17" xfId="0" applyBorder="1" applyAlignment="1">
      <alignment vertical="center" wrapText="1"/>
    </xf>
    <xf numFmtId="0" fontId="9" fillId="0" borderId="0" xfId="0" applyFont="1" applyAlignment="1">
      <alignment horizontal="center" vertical="top" wrapText="1"/>
    </xf>
    <xf numFmtId="167" fontId="25" fillId="39" borderId="20" xfId="0" applyNumberFormat="1" applyFont="1" applyFill="1" applyBorder="1" applyAlignment="1">
      <alignment horizontal="left"/>
    </xf>
    <xf numFmtId="167" fontId="26" fillId="38" borderId="21" xfId="0" applyNumberFormat="1" applyFont="1" applyFill="1" applyBorder="1" applyAlignment="1">
      <alignment horizontal="left"/>
    </xf>
    <xf numFmtId="167" fontId="26" fillId="38" borderId="22" xfId="0" applyNumberFormat="1" applyFont="1" applyFill="1" applyBorder="1" applyAlignment="1">
      <alignment horizontal="left"/>
    </xf>
    <xf numFmtId="167" fontId="26" fillId="38" borderId="24" xfId="0" applyNumberFormat="1" applyFont="1" applyFill="1" applyBorder="1" applyAlignment="1">
      <alignment horizontal="left"/>
    </xf>
    <xf numFmtId="167" fontId="25" fillId="40" borderId="25" xfId="0" applyNumberFormat="1" applyFont="1" applyFill="1" applyBorder="1" applyAlignment="1">
      <alignment horizontal="left"/>
    </xf>
    <xf numFmtId="167" fontId="25" fillId="40" borderId="26" xfId="0" applyNumberFormat="1" applyFont="1" applyFill="1" applyBorder="1" applyAlignment="1">
      <alignment horizontal="left"/>
    </xf>
    <xf numFmtId="167" fontId="25" fillId="39" borderId="27" xfId="0" applyNumberFormat="1" applyFont="1" applyFill="1" applyBorder="1" applyAlignment="1">
      <alignment horizontal="left"/>
    </xf>
    <xf numFmtId="0" fontId="9" fillId="41" borderId="16" xfId="0" applyFont="1" applyFill="1" applyBorder="1" applyAlignment="1">
      <alignment horizontal="right" vertical="center"/>
    </xf>
    <xf numFmtId="0" fontId="13" fillId="25" borderId="15" xfId="7" applyFont="1" applyBorder="1" applyAlignment="1">
      <alignment horizontal="right" wrapText="1"/>
    </xf>
    <xf numFmtId="167" fontId="25" fillId="42" borderId="23" xfId="0" applyNumberFormat="1" applyFont="1" applyFill="1" applyBorder="1" applyAlignment="1">
      <alignment horizontal="left"/>
    </xf>
    <xf numFmtId="0" fontId="9" fillId="42" borderId="17" xfId="0" applyFont="1" applyFill="1" applyBorder="1" applyAlignment="1">
      <alignment horizontal="right" vertical="center"/>
    </xf>
    <xf numFmtId="0" fontId="0" fillId="0" borderId="17" xfId="0" applyBorder="1" applyAlignment="1">
      <alignment vertical="center" wrapText="1"/>
    </xf>
    <xf numFmtId="0" fontId="9" fillId="0" borderId="17" xfId="0" applyFont="1" applyBorder="1" applyAlignment="1">
      <alignment horizontal="right" vertical="center" wrapText="1"/>
    </xf>
    <xf numFmtId="0" fontId="0" fillId="0" borderId="17" xfId="0" applyBorder="1" applyAlignment="1">
      <alignment horizontal="left" vertical="center" wrapText="1" indent="1"/>
    </xf>
    <xf numFmtId="0" fontId="9" fillId="0" borderId="16" xfId="0" applyFont="1" applyBorder="1" applyAlignment="1">
      <alignment horizontal="right" vertical="center" wrapText="1"/>
    </xf>
    <xf numFmtId="0" fontId="0" fillId="0" borderId="16" xfId="0" applyBorder="1" applyAlignment="1">
      <alignment horizontal="left" vertical="center" wrapText="1" indent="1"/>
    </xf>
    <xf numFmtId="0" fontId="10" fillId="0" borderId="0" xfId="0" applyFont="1" applyAlignment="1">
      <alignment horizontal="center" vertical="top" wrapText="1"/>
    </xf>
    <xf numFmtId="0" fontId="9" fillId="0" borderId="0" xfId="0" applyFont="1" applyAlignment="1">
      <alignment horizontal="center" vertical="top" wrapText="1"/>
    </xf>
    <xf numFmtId="0" fontId="0" fillId="0" borderId="0" xfId="0" applyAlignment="1">
      <alignment horizontal="center" vertical="top" wrapText="1"/>
    </xf>
    <xf numFmtId="0" fontId="14" fillId="37" borderId="0" xfId="5" applyAlignment="1">
      <alignment vertical="center" wrapText="1"/>
    </xf>
    <xf numFmtId="0" fontId="16" fillId="0" borderId="7" xfId="38" applyAlignment="1">
      <alignment horizontal="left" vertical="center" wrapText="1" indent="1"/>
      <protection locked="0"/>
    </xf>
    <xf numFmtId="0" fontId="10" fillId="28" borderId="0" xfId="4" applyAlignment="1">
      <alignment horizontal="right" wrapText="1"/>
    </xf>
    <xf numFmtId="0" fontId="10" fillId="28" borderId="0" xfId="4" applyAlignment="1">
      <alignment horizontal="left" wrapText="1" indent="1"/>
    </xf>
    <xf numFmtId="0" fontId="9" fillId="0" borderId="15" xfId="0" applyFont="1" applyBorder="1" applyAlignment="1">
      <alignment horizontal="right" vertical="center" wrapText="1"/>
    </xf>
    <xf numFmtId="0" fontId="0" fillId="0" borderId="15" xfId="0" applyBorder="1" applyAlignment="1">
      <alignment horizontal="left" vertical="center" wrapText="1" indent="1"/>
    </xf>
  </cellXfs>
  <cellStyles count="47">
    <cellStyle name="20% - Accent1" xfId="41" builtinId="30" customBuiltin="1"/>
    <cellStyle name="20% - Accent2" xfId="42" builtinId="34" customBuiltin="1"/>
    <cellStyle name="20% - Accent3" xfId="43" builtinId="38" customBuiltin="1"/>
    <cellStyle name="20% - Accent4" xfId="44" builtinId="42" customBuiltin="1"/>
    <cellStyle name="20% - Accent5" xfId="45" builtinId="46" customBuiltin="1"/>
    <cellStyle name="20% - Accent6" xfId="46" builtinId="50" customBuiltin="1"/>
    <cellStyle name="40% - Accent1" xfId="19" builtinId="31" customBuiltin="1"/>
    <cellStyle name="40% - Accent2" xfId="22" builtinId="35" customBuiltin="1"/>
    <cellStyle name="40% - Accent3" xfId="25" builtinId="39" customBuiltin="1"/>
    <cellStyle name="40% - Accent4" xfId="28" builtinId="43" customBuiltin="1"/>
    <cellStyle name="40% - Accent5" xfId="31" builtinId="47" customBuiltin="1"/>
    <cellStyle name="40% - Accent6" xfId="34" builtinId="51" customBuiltin="1"/>
    <cellStyle name="60% - Accent1" xfId="20" builtinId="32" customBuiltin="1"/>
    <cellStyle name="60% - Accent2" xfId="23" builtinId="36" customBuiltin="1"/>
    <cellStyle name="60% - Accent3" xfId="26" builtinId="40" customBuiltin="1"/>
    <cellStyle name="60% - Accent4" xfId="29" builtinId="44" customBuiltin="1"/>
    <cellStyle name="60% - Accent5" xfId="32" builtinId="48" customBuiltin="1"/>
    <cellStyle name="60% - Accent6" xfId="35" builtinId="52" customBuiltin="1"/>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Attention" xfId="39" xr:uid="{00000000-0005-0000-0000-000018000000}"/>
    <cellStyle name="Bad" xfId="7" builtinId="27" customBuiltin="1"/>
    <cellStyle name="Calculation" xfId="11" builtinId="22" hidden="1"/>
    <cellStyle name="Check Cell" xfId="13" builtinId="23" hidden="1"/>
    <cellStyle name="Currency [0]" xfId="40" builtinId="7" customBuiltin="1"/>
    <cellStyle name="Explanatory Text" xfId="16" builtinId="53" hidde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hidden="1"/>
    <cellStyle name="Linked Cell" xfId="12" builtinId="24" hidden="1"/>
    <cellStyle name="Neutral" xfId="8" builtinId="28" customBuiltin="1"/>
    <cellStyle name="Normal" xfId="0" builtinId="0" customBuiltin="1"/>
    <cellStyle name="Note" xfId="15" builtinId="10" hidden="1"/>
    <cellStyle name="Note/Tips" xfId="38" xr:uid="{00000000-0005-0000-0000-000028000000}"/>
    <cellStyle name="Output" xfId="10" builtinId="21" hidden="1"/>
    <cellStyle name="Properties heading" xfId="36" xr:uid="{00000000-0005-0000-0000-00002A000000}"/>
    <cellStyle name="Property Content" xfId="37" xr:uid="{00000000-0005-0000-0000-00002B000000}"/>
    <cellStyle name="Title" xfId="1" builtinId="15" customBuiltin="1"/>
    <cellStyle name="Total" xfId="17" builtinId="25" hidden="1" customBuiltin="1"/>
    <cellStyle name="Warning Text" xfId="14" builtinId="11" customBuiltin="1"/>
  </cellStyles>
  <dxfs count="24">
    <dxf>
      <fill>
        <patternFill patternType="none">
          <bgColor auto="1"/>
        </patternFill>
      </fill>
    </dxf>
    <dxf>
      <font>
        <condense val="0"/>
        <extend val="0"/>
        <color rgb="FFC0C0C0"/>
      </font>
      <fill>
        <patternFill>
          <bgColor rgb="FFFF0000"/>
        </patternFill>
      </fill>
    </dxf>
    <dxf>
      <fill>
        <patternFill>
          <bgColor rgb="FFFFFF99"/>
        </patternFill>
      </fill>
    </dxf>
    <dxf>
      <font>
        <condense val="0"/>
        <extend val="0"/>
        <color rgb="FFC0C0C0"/>
      </font>
      <fill>
        <patternFill>
          <bgColor rgb="FF339966"/>
        </patternFill>
      </fill>
    </dxf>
    <dxf>
      <font>
        <condense val="0"/>
        <extend val="0"/>
        <color rgb="FF008000"/>
      </font>
    </dxf>
    <dxf>
      <font>
        <b/>
        <i val="0"/>
        <condense val="0"/>
        <extend val="0"/>
        <color rgb="FFFF0000"/>
      </font>
    </dxf>
    <dxf>
      <font>
        <b val="0"/>
        <i val="0"/>
        <color theme="1"/>
      </font>
      <fill>
        <patternFill patternType="none">
          <bgColor auto="1"/>
        </patternFill>
      </fill>
      <border>
        <horizontal style="thin">
          <color theme="5" tint="0.39994506668294322"/>
        </horizontal>
      </border>
    </dxf>
    <dxf>
      <font>
        <b val="0"/>
        <i val="0"/>
        <color theme="1"/>
      </font>
      <fill>
        <patternFill patternType="none">
          <bgColor auto="1"/>
        </patternFill>
      </fill>
      <border>
        <horizontal style="thin">
          <color theme="5" tint="0.39994506668294322"/>
        </horizontal>
      </border>
    </dxf>
    <dxf>
      <font>
        <b val="0"/>
        <i val="0"/>
        <color theme="1"/>
      </font>
    </dxf>
    <dxf>
      <font>
        <b val="0"/>
        <i val="0"/>
        <color theme="1"/>
      </font>
      <fill>
        <patternFill patternType="none">
          <bgColor auto="1"/>
        </patternFill>
      </fill>
    </dxf>
    <dxf>
      <font>
        <b/>
        <i val="0"/>
        <color theme="1"/>
      </font>
    </dxf>
    <dxf>
      <font>
        <b/>
        <i val="0"/>
        <color theme="4"/>
      </font>
    </dxf>
    <dxf>
      <font>
        <b/>
        <i val="0"/>
        <color theme="0"/>
      </font>
      <fill>
        <patternFill>
          <bgColor theme="5" tint="-0.24994659260841701"/>
        </patternFill>
      </fill>
    </dxf>
    <dxf>
      <font>
        <b/>
        <i val="0"/>
        <color theme="4"/>
      </font>
      <fill>
        <patternFill>
          <bgColor theme="5" tint="0.79998168889431442"/>
        </patternFill>
      </fill>
    </dxf>
    <dxf>
      <font>
        <b val="0"/>
        <i val="0"/>
      </font>
      <border>
        <bottom style="thick">
          <color theme="5" tint="-0.24994659260841701"/>
        </bottom>
        <vertical style="thin">
          <color theme="5" tint="0.39991454817346722"/>
        </vertical>
        <horizontal style="thin">
          <color theme="5" tint="0.39994506668294322"/>
        </horizontal>
      </border>
    </dxf>
    <dxf>
      <font>
        <b val="0"/>
        <i val="0"/>
        <color theme="1"/>
      </font>
      <fill>
        <patternFill patternType="none">
          <bgColor auto="1"/>
        </patternFill>
      </fill>
      <border>
        <horizontal style="thin">
          <color theme="5" tint="0.39994506668294322"/>
        </horizontal>
      </border>
    </dxf>
    <dxf>
      <font>
        <b val="0"/>
        <i val="0"/>
        <color theme="1"/>
      </font>
      <fill>
        <patternFill patternType="none">
          <bgColor auto="1"/>
        </patternFill>
      </fill>
      <border>
        <horizontal style="thin">
          <color theme="5" tint="0.39994506668294322"/>
        </horizontal>
      </border>
    </dxf>
    <dxf>
      <font>
        <b val="0"/>
        <i val="0"/>
        <color theme="1"/>
      </font>
    </dxf>
    <dxf>
      <font>
        <b val="0"/>
        <i val="0"/>
        <color theme="1"/>
      </font>
      <fill>
        <patternFill patternType="none">
          <bgColor auto="1"/>
        </patternFill>
      </fill>
    </dxf>
    <dxf>
      <font>
        <b/>
        <i val="0"/>
        <color theme="1"/>
      </font>
    </dxf>
    <dxf>
      <font>
        <b/>
        <i val="0"/>
        <color theme="4"/>
      </font>
    </dxf>
    <dxf>
      <font>
        <b/>
        <i val="0"/>
        <color theme="0"/>
      </font>
      <fill>
        <patternFill>
          <bgColor theme="5" tint="-0.24994659260841701"/>
        </patternFill>
      </fill>
    </dxf>
    <dxf>
      <font>
        <b/>
        <i val="0"/>
        <color theme="4"/>
      </font>
      <fill>
        <patternFill>
          <bgColor theme="5" tint="0.79998168889431442"/>
        </patternFill>
      </fill>
    </dxf>
    <dxf>
      <font>
        <b val="0"/>
        <i val="0"/>
      </font>
      <border>
        <bottom style="thick">
          <color theme="5" tint="-0.24994659260841701"/>
        </bottom>
        <horizontal style="thin">
          <color theme="5" tint="0.39994506668294322"/>
        </horizontal>
      </border>
    </dxf>
  </dxfs>
  <tableStyles count="2" defaultTableStyle="Slalom Table" defaultPivotStyle="PivotStyleLight16">
    <tableStyle name="Slalom Table" pivot="0" count="9" xr9:uid="{00000000-0011-0000-FFFF-FFFF00000000}">
      <tableStyleElement type="wholeTable" dxfId="23"/>
      <tableStyleElement type="headerRow" dxfId="22"/>
      <tableStyleElement type="totalRow" dxfId="21"/>
      <tableStyleElement type="firstColumn" dxfId="20"/>
      <tableStyleElement type="lastColumn" dxfId="19"/>
      <tableStyleElement type="firstRowStripe" dxfId="18"/>
      <tableStyleElement type="secondRowStripe" dxfId="17"/>
      <tableStyleElement type="firstColumnStripe" dxfId="16"/>
      <tableStyleElement type="secondColumnStripe" dxfId="15"/>
    </tableStyle>
    <tableStyle name="Slalom Table 2" pivot="0" count="9" xr9:uid="{00000000-0011-0000-FFFF-FFFF01000000}">
      <tableStyleElement type="wholeTable" dxfId="14"/>
      <tableStyleElement type="headerRow" dxfId="13"/>
      <tableStyleElement type="totalRow" dxfId="12"/>
      <tableStyleElement type="firstColumn" dxfId="11"/>
      <tableStyleElement type="lastColumn" dxfId="10"/>
      <tableStyleElement type="firstRowStripe" dxfId="9"/>
      <tableStyleElement type="secondRowStripe" dxfId="8"/>
      <tableStyleElement type="firstColumnStripe" dxfId="7"/>
      <tableStyleElement type="secondColumnStripe" dxfId="6"/>
    </tableStyle>
  </tableStyles>
  <colors>
    <mruColors>
      <color rgb="FF00FF00"/>
      <color rgb="FF0033CC"/>
      <color rgb="FFCC0000"/>
      <color rgb="FFFFC1C1"/>
      <color rgb="FFF6BB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Slalom PowerPoint Doc">
  <a:themeElements>
    <a:clrScheme name="Slalom Consulting">
      <a:dk1>
        <a:srgbClr val="373737"/>
      </a:dk1>
      <a:lt1>
        <a:srgbClr val="FFFFFF"/>
      </a:lt1>
      <a:dk2>
        <a:srgbClr val="525252"/>
      </a:dk2>
      <a:lt2>
        <a:srgbClr val="E0DED9"/>
      </a:lt2>
      <a:accent1>
        <a:srgbClr val="22314E"/>
      </a:accent1>
      <a:accent2>
        <a:srgbClr val="34B6E4"/>
      </a:accent2>
      <a:accent3>
        <a:srgbClr val="E57200"/>
      </a:accent3>
      <a:accent4>
        <a:srgbClr val="7DCC2E"/>
      </a:accent4>
      <a:accent5>
        <a:srgbClr val="838383"/>
      </a:accent5>
      <a:accent6>
        <a:srgbClr val="B22873"/>
      </a:accent6>
      <a:hlink>
        <a:srgbClr val="34B6E4"/>
      </a:hlink>
      <a:folHlink>
        <a:srgbClr val="34B6E4"/>
      </a:folHlink>
    </a:clrScheme>
    <a:fontScheme name="Custom 1">
      <a:majorFont>
        <a:latin typeface="Arial"/>
        <a:ea typeface=""/>
        <a:cs typeface=""/>
      </a:majorFont>
      <a:minorFont>
        <a:latin typeface="Arial"/>
        <a:ea typeface=""/>
        <a:cs typeface=""/>
      </a:minorFont>
    </a:fontScheme>
    <a:fmtScheme name="Foundry">
      <a:fillStyleLst>
        <a:solidFill>
          <a:schemeClr val="phClr"/>
        </a:solidFill>
        <a:gradFill rotWithShape="1">
          <a:gsLst>
            <a:gs pos="0">
              <a:schemeClr val="phClr">
                <a:tint val="70000"/>
                <a:satMod val="180000"/>
              </a:schemeClr>
            </a:gs>
            <a:gs pos="62000">
              <a:schemeClr val="phClr">
                <a:tint val="30000"/>
                <a:satMod val="180000"/>
              </a:schemeClr>
            </a:gs>
            <a:gs pos="100000">
              <a:schemeClr val="phClr">
                <a:tint val="22000"/>
                <a:satMod val="180000"/>
              </a:schemeClr>
            </a:gs>
          </a:gsLst>
          <a:lin ang="16200000" scaled="0"/>
        </a:gradFill>
        <a:gradFill rotWithShape="1">
          <a:gsLst>
            <a:gs pos="0">
              <a:schemeClr val="phClr">
                <a:shade val="58000"/>
                <a:satMod val="150000"/>
              </a:schemeClr>
            </a:gs>
            <a:gs pos="72000">
              <a:schemeClr val="phClr">
                <a:tint val="90000"/>
                <a:satMod val="135000"/>
              </a:schemeClr>
            </a:gs>
            <a:gs pos="100000">
              <a:schemeClr val="phClr">
                <a:tint val="80000"/>
                <a:satMod val="155000"/>
              </a:schemeClr>
            </a:gs>
          </a:gsLst>
          <a:lin ang="16200000" scaled="0"/>
        </a:gradFill>
      </a:fillStyleLst>
      <a:lnStyleLst>
        <a:ln w="9525" cap="flat" cmpd="sng" algn="ctr">
          <a:solidFill>
            <a:schemeClr val="phClr">
              <a:shade val="80000"/>
            </a:schemeClr>
          </a:solidFill>
          <a:prstDash val="solid"/>
        </a:ln>
        <a:ln w="38100" cap="flat" cmpd="sng" algn="ctr">
          <a:solidFill>
            <a:schemeClr val="phClr"/>
          </a:solidFill>
          <a:prstDash val="solid"/>
        </a:ln>
        <a:ln w="38100" cap="flat" cmpd="sng" algn="ctr">
          <a:solidFill>
            <a:schemeClr val="phClr"/>
          </a:solidFill>
          <a:prstDash val="solid"/>
        </a:ln>
      </a:lnStyleLst>
      <a:effectStyleLst>
        <a:effectStyle>
          <a:effectLst>
            <a:outerShdw blurRad="50800" dist="38100" dir="5400000" rotWithShape="0">
              <a:srgbClr val="000000">
                <a:alpha val="43137"/>
              </a:srgbClr>
            </a:outerShdw>
          </a:effectLst>
        </a:effectStyle>
        <a:effectStyle>
          <a:effectLst>
            <a:outerShdw blurRad="50800" dist="38100" dir="5400000" rotWithShape="0">
              <a:srgbClr val="000000">
                <a:alpha val="43137"/>
              </a:srgbClr>
            </a:outerShdw>
          </a:effectLst>
        </a:effectStyle>
        <a:effectStyle>
          <a:effectLst>
            <a:outerShdw blurRad="50800" dist="38100" dir="5400000" rotWithShape="0">
              <a:srgbClr val="000000">
                <a:alpha val="43137"/>
              </a:srgbClr>
            </a:outerShdw>
          </a:effectLst>
          <a:scene3d>
            <a:camera prst="orthographicFront" fov="0">
              <a:rot lat="0" lon="0" rev="0"/>
            </a:camera>
            <a:lightRig rig="soft" dir="tl">
              <a:rot lat="0" lon="0" rev="20000000"/>
            </a:lightRig>
          </a:scene3d>
          <a:sp3d prstMaterial="matte">
            <a:bevelT w="63500" h="63500" prst="coolSlant"/>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a:noFill/>
          <a:headEnd type="none" w="med" len="med"/>
          <a:tailEnd type="none" w="med" len="med"/>
        </a:ln>
        <a:effectLst/>
      </a:spPr>
      <a:bodyPr vert="horz" wrap="square" lIns="91436" tIns="45718" rIns="91436" bIns="45718" numCol="1" rtlCol="0" anchor="ctr" anchorCtr="0" compatLnSpc="1">
        <a:prstTxWarp prst="textNoShape">
          <a:avLst/>
        </a:prstTxWarp>
      </a:bodyPr>
      <a:lstStyle>
        <a:defPPr algn="ctr" defTabSz="914099">
          <a:defRPr sz="2400" dirty="0" err="1" smtClean="0">
            <a:gradFill>
              <a:gsLst>
                <a:gs pos="0">
                  <a:schemeClr val="bg1"/>
                </a:gs>
                <a:gs pos="100000">
                  <a:schemeClr val="bg1"/>
                </a:gs>
              </a:gsLst>
              <a:lin ang="5400000" scaled="0"/>
            </a:gradFill>
          </a:defRPr>
        </a:defPPr>
      </a:lstStyle>
      <a:style>
        <a:lnRef idx="1">
          <a:schemeClr val="accent1"/>
        </a:lnRef>
        <a:fillRef idx="3">
          <a:schemeClr val="accent1"/>
        </a:fillRef>
        <a:effectRef idx="2">
          <a:schemeClr val="accent1"/>
        </a:effectRef>
        <a:fontRef idx="minor">
          <a:schemeClr val="lt1"/>
        </a:fontRef>
      </a:style>
    </a:spDef>
    <a:txDef>
      <a:spPr>
        <a:noFill/>
      </a:spPr>
      <a:bodyPr wrap="none" lIns="0" tIns="0" rIns="0" bIns="0" rtlCol="0">
        <a:spAutoFit/>
      </a:bodyPr>
      <a:lstStyle>
        <a:defPPr eaLnBrk="0" hangingPunct="0">
          <a:lnSpc>
            <a:spcPct val="90000"/>
          </a:lnSpc>
          <a:spcBef>
            <a:spcPts val="1200"/>
          </a:spcBef>
          <a:buClr>
            <a:schemeClr val="accent1"/>
          </a:buClr>
          <a:buSzPct val="90000"/>
          <a:defRPr sz="2400" dirty="0" err="1" smtClean="0">
            <a:gradFill>
              <a:gsLst>
                <a:gs pos="0">
                  <a:schemeClr val="tx1"/>
                </a:gs>
                <a:gs pos="86000">
                  <a:srgbClr val="373737"/>
                </a:gs>
              </a:gsLst>
              <a:lin ang="5400000" scaled="0"/>
            </a:gradFill>
            <a:latin typeface="+mn-lt"/>
            <a:ea typeface="ＭＳ Ｐゴシック" charset="0"/>
            <a:cs typeface="ＭＳ Ｐゴシック" charset="0"/>
          </a:defRPr>
        </a:defPPr>
      </a:lst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P7"/>
  <sheetViews>
    <sheetView topLeftCell="B1" workbookViewId="0">
      <pane xSplit="3" ySplit="1" topLeftCell="E2" activePane="bottomRight" state="frozen"/>
      <selection pane="bottomRight" activeCell="B1" sqref="B1"/>
      <selection pane="bottomLeft" activeCell="B2" sqref="B2"/>
      <selection pane="topRight" activeCell="F1" sqref="F1"/>
    </sheetView>
  </sheetViews>
  <sheetFormatPr defaultColWidth="8.7109375" defaultRowHeight="15" customHeight="1"/>
  <cols>
    <col min="1" max="1" width="8.7109375" style="40"/>
    <col min="2" max="2" width="7.28515625" style="40" customWidth="1"/>
    <col min="3" max="3" width="10" style="40" customWidth="1"/>
    <col min="4" max="4" width="45.5703125" style="39" customWidth="1"/>
    <col min="5" max="5" width="10.28515625" style="39" customWidth="1"/>
    <col min="6" max="7" width="8.7109375" style="39" customWidth="1"/>
    <col min="8" max="8" width="10.85546875" style="39" customWidth="1"/>
    <col min="9" max="9" width="10.28515625" style="39" customWidth="1"/>
    <col min="10" max="11" width="37.5703125" style="39" customWidth="1"/>
    <col min="12" max="12" width="12.7109375" style="39" customWidth="1"/>
    <col min="13" max="13" width="8.7109375" style="40"/>
    <col min="14" max="16384" width="8.7109375" style="39"/>
  </cols>
  <sheetData>
    <row r="1" spans="1:16" s="21" customFormat="1" ht="64.150000000000006" customHeight="1">
      <c r="A1" s="48" t="s">
        <v>0</v>
      </c>
      <c r="B1" s="48" t="s">
        <v>1</v>
      </c>
      <c r="C1" s="48" t="s">
        <v>2</v>
      </c>
      <c r="D1" s="48" t="s">
        <v>3</v>
      </c>
      <c r="E1" s="48" t="s">
        <v>4</v>
      </c>
      <c r="F1" s="48" t="s">
        <v>5</v>
      </c>
      <c r="G1" s="48" t="s">
        <v>6</v>
      </c>
      <c r="H1" s="48" t="s">
        <v>7</v>
      </c>
      <c r="I1" s="48" t="s">
        <v>8</v>
      </c>
      <c r="J1" s="48" t="s">
        <v>9</v>
      </c>
      <c r="K1" s="48" t="s">
        <v>10</v>
      </c>
      <c r="L1" s="48" t="s">
        <v>11</v>
      </c>
      <c r="M1" s="48" t="s">
        <v>12</v>
      </c>
      <c r="P1" s="21" t="s">
        <v>13</v>
      </c>
    </row>
    <row r="2" spans="1:16">
      <c r="A2" s="40">
        <v>1</v>
      </c>
      <c r="B2" s="96"/>
      <c r="C2" s="102"/>
      <c r="D2" s="90"/>
      <c r="E2" s="21"/>
      <c r="F2" s="21"/>
      <c r="G2" s="21"/>
      <c r="H2" s="21"/>
      <c r="I2" s="21"/>
      <c r="J2" s="21"/>
      <c r="K2" s="21"/>
      <c r="L2" s="21"/>
      <c r="M2" s="102"/>
    </row>
    <row r="3" spans="1:16">
      <c r="A3" s="40">
        <v>4</v>
      </c>
      <c r="B3" s="96"/>
      <c r="C3" s="102"/>
      <c r="D3" s="90"/>
      <c r="E3" s="21"/>
      <c r="F3" s="21"/>
      <c r="G3" s="21"/>
      <c r="H3" s="21"/>
      <c r="I3" s="21"/>
      <c r="J3" s="90"/>
      <c r="K3" s="90"/>
      <c r="L3" s="21"/>
      <c r="M3" s="102"/>
    </row>
    <row r="4" spans="1:16">
      <c r="A4" s="40">
        <v>2</v>
      </c>
      <c r="B4" s="96"/>
      <c r="C4" s="102"/>
      <c r="D4" s="90"/>
      <c r="E4" s="21"/>
      <c r="F4" s="21"/>
      <c r="G4" s="21"/>
      <c r="H4" s="21"/>
      <c r="I4" s="21"/>
      <c r="J4" s="90"/>
      <c r="K4" s="90"/>
      <c r="L4" s="21"/>
      <c r="M4" s="102"/>
    </row>
    <row r="5" spans="1:16">
      <c r="A5" s="40">
        <v>3</v>
      </c>
      <c r="B5" s="96"/>
      <c r="C5" s="102"/>
      <c r="D5" s="90"/>
      <c r="E5" s="21"/>
      <c r="F5" s="21"/>
      <c r="G5" s="21"/>
      <c r="H5" s="21"/>
      <c r="I5" s="21"/>
      <c r="J5" s="21"/>
      <c r="K5" s="21"/>
      <c r="L5" s="21"/>
      <c r="M5" s="102"/>
    </row>
    <row r="6" spans="1:16">
      <c r="B6" s="95"/>
      <c r="C6" s="102"/>
      <c r="M6" s="102"/>
    </row>
    <row r="7" spans="1:16">
      <c r="B7" s="96"/>
      <c r="C7" s="102"/>
    </row>
  </sheetData>
  <protectedRanges>
    <protectedRange password="CDFE" sqref="W1:X1" name="Range1"/>
  </protectedRanges>
  <dataValidations count="3">
    <dataValidation allowBlank="1" showInputMessage="1" showErrorMessage="1" error="Please do not change the value in this column." sqref="W1" xr:uid="{00000000-0002-0000-0000-000000000000}"/>
    <dataValidation type="list" allowBlank="1" sqref="T1" xr:uid="{00000000-0002-0000-0000-000001000000}">
      <formula1>#REF!</formula1>
    </dataValidation>
    <dataValidation type="list" allowBlank="1" showErrorMessage="1" error="Please select a value from the drop down list." sqref="U1:V1" xr:uid="{00000000-0002-0000-0000-000002000000}">
      <formula1>$P$12:$P$14</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H68"/>
  <sheetViews>
    <sheetView workbookViewId="0"/>
  </sheetViews>
  <sheetFormatPr defaultColWidth="8.7109375" defaultRowHeight="14.45"/>
  <cols>
    <col min="1" max="1" width="13.7109375" style="43" customWidth="1"/>
    <col min="2" max="2" width="8.7109375" style="104"/>
    <col min="3" max="3" width="7.42578125" style="21" customWidth="1"/>
    <col min="4" max="4" width="42.42578125" style="98" customWidth="1"/>
    <col min="5" max="5" width="21.85546875" style="21" customWidth="1"/>
    <col min="6" max="6" width="13.7109375" style="45" bestFit="1" customWidth="1"/>
    <col min="7" max="7" width="11.28515625" style="45" customWidth="1"/>
    <col min="8" max="8" width="55.7109375" style="49" customWidth="1"/>
    <col min="9" max="16384" width="8.7109375" style="21"/>
  </cols>
  <sheetData>
    <row r="1" spans="1:8" ht="15">
      <c r="A1" s="96"/>
      <c r="B1" s="89"/>
    </row>
    <row r="2" spans="1:8" ht="15">
      <c r="A2" s="96"/>
      <c r="B2" s="42"/>
      <c r="D2" s="97"/>
      <c r="F2" s="44"/>
    </row>
    <row r="3" spans="1:8" ht="15">
      <c r="A3" s="96"/>
      <c r="B3" s="89"/>
      <c r="G3" s="92"/>
      <c r="H3" s="91"/>
    </row>
    <row r="4" spans="1:8" ht="15">
      <c r="A4" s="96"/>
      <c r="B4" s="89"/>
      <c r="D4" s="83"/>
      <c r="H4" s="21"/>
    </row>
    <row r="5" spans="1:8" ht="15">
      <c r="A5" s="96"/>
      <c r="B5" s="42"/>
      <c r="D5" s="97"/>
      <c r="F5" s="44"/>
    </row>
    <row r="6" spans="1:8" ht="15">
      <c r="A6" s="96"/>
      <c r="B6" s="89"/>
      <c r="D6" s="83"/>
      <c r="H6" s="21"/>
    </row>
    <row r="7" spans="1:8" ht="15">
      <c r="A7" s="95"/>
      <c r="F7" s="42"/>
    </row>
    <row r="8" spans="1:8" ht="15">
      <c r="A8" s="96"/>
      <c r="F8" s="42"/>
    </row>
    <row r="9" spans="1:8" ht="15">
      <c r="A9" s="96"/>
      <c r="B9" s="89"/>
      <c r="D9" s="97"/>
    </row>
    <row r="10" spans="1:8" ht="15">
      <c r="A10" s="96"/>
      <c r="D10" s="99"/>
    </row>
    <row r="11" spans="1:8" ht="15">
      <c r="A11" s="95"/>
      <c r="F11" s="42"/>
    </row>
    <row r="12" spans="1:8" ht="15">
      <c r="A12" s="95"/>
      <c r="G12" s="92"/>
    </row>
    <row r="13" spans="1:8" ht="15">
      <c r="A13" s="96"/>
      <c r="G13" s="92"/>
    </row>
    <row r="14" spans="1:8" ht="15">
      <c r="A14" s="95"/>
      <c r="D14" s="21"/>
      <c r="F14" s="103"/>
    </row>
    <row r="15" spans="1:8" ht="15">
      <c r="A15" s="96"/>
      <c r="D15" s="21"/>
    </row>
    <row r="16" spans="1:8" ht="15">
      <c r="A16" s="95"/>
    </row>
    <row r="17" spans="1:7" ht="15">
      <c r="A17" s="96"/>
      <c r="G17" s="92"/>
    </row>
    <row r="20" spans="1:7">
      <c r="F20" s="92"/>
    </row>
    <row r="21" spans="1:7">
      <c r="F21" s="92"/>
    </row>
    <row r="23" spans="1:7">
      <c r="D23" s="100"/>
    </row>
    <row r="26" spans="1:7">
      <c r="F26" s="92"/>
    </row>
    <row r="27" spans="1:7">
      <c r="F27" s="92"/>
    </row>
    <row r="29" spans="1:7">
      <c r="A29" s="93"/>
    </row>
    <row r="39" spans="4:6">
      <c r="F39" s="94"/>
    </row>
    <row r="41" spans="4:6">
      <c r="F41" s="94"/>
    </row>
    <row r="42" spans="4:6">
      <c r="F42" s="94"/>
    </row>
    <row r="43" spans="4:6">
      <c r="D43" s="101"/>
    </row>
    <row r="44" spans="4:6">
      <c r="F44" s="94"/>
    </row>
    <row r="45" spans="4:6">
      <c r="F45" s="94"/>
    </row>
    <row r="46" spans="4:6">
      <c r="F46" s="94"/>
    </row>
    <row r="47" spans="4:6">
      <c r="F47" s="94"/>
    </row>
    <row r="48" spans="4:6">
      <c r="F48" s="94"/>
    </row>
    <row r="49" spans="6:6">
      <c r="F49" s="94"/>
    </row>
    <row r="51" spans="6:6">
      <c r="F51" s="94"/>
    </row>
    <row r="52" spans="6:6">
      <c r="F52" s="94"/>
    </row>
    <row r="53" spans="6:6">
      <c r="F53" s="94"/>
    </row>
    <row r="64" spans="6:6">
      <c r="F64" s="94"/>
    </row>
    <row r="66" ht="15"/>
    <row r="67" ht="15"/>
    <row r="68" ht="1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L206"/>
  <sheetViews>
    <sheetView showGridLines="0" zoomScaleNormal="100" workbookViewId="0">
      <pane xSplit="2" ySplit="1" topLeftCell="J6" activePane="bottomRight" state="frozen"/>
      <selection pane="bottomRight" activeCell="J6" sqref="J6"/>
      <selection pane="bottomLeft" activeCell="A11" sqref="A11"/>
      <selection pane="topRight" activeCell="D1" sqref="D1"/>
    </sheetView>
  </sheetViews>
  <sheetFormatPr defaultColWidth="20.7109375" defaultRowHeight="15" customHeight="1"/>
  <cols>
    <col min="1" max="1" width="16.28515625" style="54" customWidth="1"/>
    <col min="2" max="2" width="33.85546875" style="54" customWidth="1"/>
    <col min="3" max="3" width="15.7109375" style="54" customWidth="1"/>
    <col min="4" max="4" width="8.85546875" style="82" customWidth="1"/>
    <col min="5" max="5" width="20.42578125" style="88" customWidth="1"/>
    <col min="6" max="6" width="11.85546875" style="54" customWidth="1"/>
    <col min="7" max="7" width="10.140625" style="82" customWidth="1"/>
    <col min="8" max="9" width="12.7109375" style="54" customWidth="1"/>
    <col min="10" max="10" width="20.7109375" style="54"/>
    <col min="11" max="11" width="30.7109375" style="54" customWidth="1"/>
    <col min="12" max="12" width="12.7109375" style="54" customWidth="1"/>
    <col min="13" max="16384" width="20.7109375" style="54"/>
  </cols>
  <sheetData>
    <row r="1" spans="1:12" ht="25.15" customHeight="1">
      <c r="A1" s="51" t="s">
        <v>14</v>
      </c>
      <c r="B1" s="50" t="s">
        <v>15</v>
      </c>
      <c r="C1" s="50" t="s">
        <v>16</v>
      </c>
      <c r="D1" s="52" t="s">
        <v>17</v>
      </c>
      <c r="E1" s="84" t="s">
        <v>10</v>
      </c>
      <c r="F1" s="50" t="s">
        <v>11</v>
      </c>
      <c r="G1" s="52" t="s">
        <v>18</v>
      </c>
      <c r="H1" s="50" t="s">
        <v>19</v>
      </c>
      <c r="I1" s="53" t="s">
        <v>20</v>
      </c>
      <c r="J1" s="50" t="s">
        <v>21</v>
      </c>
      <c r="K1" s="50" t="s">
        <v>22</v>
      </c>
      <c r="L1" s="50" t="s">
        <v>23</v>
      </c>
    </row>
    <row r="2" spans="1:12">
      <c r="A2" s="55"/>
      <c r="B2" s="56"/>
      <c r="C2" s="56"/>
      <c r="D2" s="57"/>
      <c r="E2" s="85"/>
      <c r="F2" s="56"/>
      <c r="G2" s="57"/>
      <c r="H2" s="58"/>
      <c r="I2" s="59"/>
      <c r="J2" s="60"/>
      <c r="K2" s="61"/>
      <c r="L2" s="62"/>
    </row>
    <row r="3" spans="1:12" s="39" customFormat="1">
      <c r="A3" s="63"/>
      <c r="B3" s="64"/>
      <c r="C3" s="64"/>
      <c r="D3" s="65"/>
      <c r="E3" s="86"/>
      <c r="F3" s="64"/>
      <c r="G3" s="65"/>
      <c r="H3" s="66"/>
      <c r="I3" s="67"/>
      <c r="J3" s="68"/>
      <c r="K3" s="69"/>
      <c r="L3" s="70"/>
    </row>
    <row r="4" spans="1:12">
      <c r="A4" s="63"/>
      <c r="B4" s="64"/>
      <c r="C4" s="64"/>
      <c r="D4" s="65"/>
      <c r="E4" s="86"/>
      <c r="F4" s="64"/>
      <c r="G4" s="65"/>
      <c r="H4" s="66"/>
      <c r="I4" s="67"/>
      <c r="J4" s="68"/>
      <c r="K4" s="69"/>
      <c r="L4" s="70"/>
    </row>
    <row r="5" spans="1:12">
      <c r="A5" s="63"/>
      <c r="B5" s="49"/>
      <c r="C5" s="64"/>
      <c r="D5" s="65"/>
      <c r="E5" s="86"/>
      <c r="F5" s="64"/>
      <c r="G5" s="65"/>
      <c r="H5" s="66"/>
      <c r="I5" s="67"/>
      <c r="J5" s="68" t="str">
        <f t="shared" ref="J5:J65" si="0">IF(B5="","",IF(I5&lt;5,"Green",IF(I5&lt;=10,"Yellow","Red")))</f>
        <v/>
      </c>
      <c r="K5" s="69"/>
      <c r="L5" s="70"/>
    </row>
    <row r="6" spans="1:12" ht="15" customHeight="1">
      <c r="A6" s="63"/>
      <c r="B6" s="64"/>
      <c r="C6" s="64"/>
      <c r="D6" s="65"/>
      <c r="E6" s="86"/>
      <c r="F6" s="64"/>
      <c r="G6" s="65"/>
      <c r="H6" s="66" t="str">
        <f t="shared" ref="H6:H32" si="1">IF(D6="","",IF(L6="","Open","Closed"))</f>
        <v/>
      </c>
      <c r="I6" s="67" t="str">
        <f t="shared" ref="I6:I32" ca="1" si="2">IF(B6="","",IF(H6="Closed",(L6-G6),IF(ROUND((NOW()-G6),0)&lt;0,0,ROUND((NOW()-G6),0))))</f>
        <v/>
      </c>
      <c r="J6" s="68"/>
      <c r="K6" s="71"/>
      <c r="L6" s="70"/>
    </row>
    <row r="7" spans="1:12" ht="15" customHeight="1">
      <c r="A7" s="63"/>
      <c r="B7" s="64"/>
      <c r="C7" s="64"/>
      <c r="D7" s="65"/>
      <c r="E7" s="86"/>
      <c r="F7" s="64"/>
      <c r="G7" s="65"/>
      <c r="H7" s="66" t="str">
        <f t="shared" si="1"/>
        <v/>
      </c>
      <c r="I7" s="67" t="str">
        <f t="shared" ca="1" si="2"/>
        <v/>
      </c>
      <c r="J7" s="68" t="str">
        <f t="shared" si="0"/>
        <v/>
      </c>
      <c r="K7" s="69"/>
      <c r="L7" s="70"/>
    </row>
    <row r="8" spans="1:12" ht="15" customHeight="1">
      <c r="A8" s="63"/>
      <c r="B8" s="64"/>
      <c r="C8" s="64"/>
      <c r="D8" s="65"/>
      <c r="E8" s="86"/>
      <c r="F8" s="64"/>
      <c r="G8" s="65"/>
      <c r="H8" s="66" t="str">
        <f t="shared" si="1"/>
        <v/>
      </c>
      <c r="I8" s="67" t="str">
        <f t="shared" ca="1" si="2"/>
        <v/>
      </c>
      <c r="J8" s="68" t="str">
        <f t="shared" si="0"/>
        <v/>
      </c>
      <c r="K8" s="69"/>
      <c r="L8" s="70"/>
    </row>
    <row r="9" spans="1:12" ht="15" customHeight="1">
      <c r="A9" s="63"/>
      <c r="B9" s="64"/>
      <c r="C9" s="64"/>
      <c r="D9" s="65"/>
      <c r="E9" s="86"/>
      <c r="F9" s="64"/>
      <c r="G9" s="65"/>
      <c r="H9" s="66" t="str">
        <f t="shared" si="1"/>
        <v/>
      </c>
      <c r="I9" s="67" t="str">
        <f t="shared" ca="1" si="2"/>
        <v/>
      </c>
      <c r="J9" s="68" t="str">
        <f t="shared" si="0"/>
        <v/>
      </c>
      <c r="K9" s="69"/>
      <c r="L9" s="70"/>
    </row>
    <row r="10" spans="1:12" ht="15" customHeight="1">
      <c r="A10" s="63"/>
      <c r="B10" s="64"/>
      <c r="C10" s="64"/>
      <c r="D10" s="65"/>
      <c r="E10" s="86"/>
      <c r="F10" s="64"/>
      <c r="G10" s="65"/>
      <c r="H10" s="66" t="str">
        <f t="shared" si="1"/>
        <v/>
      </c>
      <c r="I10" s="67" t="str">
        <f t="shared" ca="1" si="2"/>
        <v/>
      </c>
      <c r="J10" s="68" t="str">
        <f t="shared" si="0"/>
        <v/>
      </c>
      <c r="K10" s="69"/>
      <c r="L10" s="70"/>
    </row>
    <row r="11" spans="1:12" ht="15" customHeight="1">
      <c r="A11" s="63"/>
      <c r="B11" s="64"/>
      <c r="C11" s="64"/>
      <c r="D11" s="65"/>
      <c r="E11" s="86"/>
      <c r="F11" s="64"/>
      <c r="G11" s="65"/>
      <c r="H11" s="66" t="str">
        <f t="shared" si="1"/>
        <v/>
      </c>
      <c r="I11" s="67" t="str">
        <f t="shared" ca="1" si="2"/>
        <v/>
      </c>
      <c r="J11" s="68" t="str">
        <f t="shared" si="0"/>
        <v/>
      </c>
      <c r="K11" s="69"/>
      <c r="L11" s="70"/>
    </row>
    <row r="12" spans="1:12" ht="15" customHeight="1">
      <c r="A12" s="63"/>
      <c r="B12" s="64"/>
      <c r="C12" s="64"/>
      <c r="D12" s="65"/>
      <c r="E12" s="86"/>
      <c r="F12" s="64"/>
      <c r="G12" s="65"/>
      <c r="H12" s="66" t="str">
        <f t="shared" si="1"/>
        <v/>
      </c>
      <c r="I12" s="67" t="str">
        <f t="shared" ca="1" si="2"/>
        <v/>
      </c>
      <c r="J12" s="68" t="str">
        <f t="shared" si="0"/>
        <v/>
      </c>
      <c r="K12" s="71"/>
      <c r="L12" s="70"/>
    </row>
    <row r="13" spans="1:12" ht="15" customHeight="1">
      <c r="A13" s="63"/>
      <c r="B13" s="64"/>
      <c r="C13" s="64"/>
      <c r="D13" s="65"/>
      <c r="E13" s="86"/>
      <c r="F13" s="64"/>
      <c r="G13" s="65"/>
      <c r="H13" s="66" t="str">
        <f t="shared" si="1"/>
        <v/>
      </c>
      <c r="I13" s="67" t="str">
        <f t="shared" ca="1" si="2"/>
        <v/>
      </c>
      <c r="J13" s="68" t="str">
        <f t="shared" si="0"/>
        <v/>
      </c>
      <c r="K13" s="69"/>
      <c r="L13" s="70"/>
    </row>
    <row r="14" spans="1:12" ht="15" customHeight="1">
      <c r="A14" s="63"/>
      <c r="B14" s="64"/>
      <c r="C14" s="64"/>
      <c r="D14" s="65"/>
      <c r="E14" s="86"/>
      <c r="F14" s="64"/>
      <c r="G14" s="65"/>
      <c r="H14" s="66" t="str">
        <f t="shared" si="1"/>
        <v/>
      </c>
      <c r="I14" s="67" t="str">
        <f t="shared" ca="1" si="2"/>
        <v/>
      </c>
      <c r="J14" s="68" t="str">
        <f t="shared" si="0"/>
        <v/>
      </c>
      <c r="K14" s="69"/>
      <c r="L14" s="70"/>
    </row>
    <row r="15" spans="1:12" ht="15" customHeight="1">
      <c r="A15" s="63"/>
      <c r="B15" s="64"/>
      <c r="C15" s="64"/>
      <c r="D15" s="65"/>
      <c r="E15" s="86"/>
      <c r="F15" s="64"/>
      <c r="G15" s="65"/>
      <c r="H15" s="66" t="str">
        <f t="shared" si="1"/>
        <v/>
      </c>
      <c r="I15" s="67" t="str">
        <f t="shared" ca="1" si="2"/>
        <v/>
      </c>
      <c r="J15" s="68" t="str">
        <f t="shared" si="0"/>
        <v/>
      </c>
      <c r="K15" s="69"/>
      <c r="L15" s="70"/>
    </row>
    <row r="16" spans="1:12" ht="15" customHeight="1">
      <c r="A16" s="63"/>
      <c r="B16" s="64"/>
      <c r="C16" s="64"/>
      <c r="D16" s="65"/>
      <c r="E16" s="86"/>
      <c r="F16" s="64"/>
      <c r="G16" s="65"/>
      <c r="H16" s="66" t="str">
        <f t="shared" si="1"/>
        <v/>
      </c>
      <c r="I16" s="67" t="str">
        <f t="shared" ca="1" si="2"/>
        <v/>
      </c>
      <c r="J16" s="68" t="str">
        <f t="shared" si="0"/>
        <v/>
      </c>
      <c r="K16" s="69"/>
      <c r="L16" s="70"/>
    </row>
    <row r="17" spans="1:12" ht="15" customHeight="1">
      <c r="A17" s="63"/>
      <c r="B17" s="64"/>
      <c r="C17" s="64"/>
      <c r="D17" s="65"/>
      <c r="E17" s="86"/>
      <c r="F17" s="64"/>
      <c r="G17" s="65"/>
      <c r="H17" s="66" t="str">
        <f t="shared" si="1"/>
        <v/>
      </c>
      <c r="I17" s="67" t="str">
        <f t="shared" ca="1" si="2"/>
        <v/>
      </c>
      <c r="J17" s="68" t="str">
        <f t="shared" si="0"/>
        <v/>
      </c>
      <c r="K17" s="69"/>
      <c r="L17" s="70"/>
    </row>
    <row r="18" spans="1:12" ht="15" customHeight="1">
      <c r="A18" s="63"/>
      <c r="B18" s="64"/>
      <c r="C18" s="64"/>
      <c r="D18" s="65"/>
      <c r="E18" s="86"/>
      <c r="F18" s="64"/>
      <c r="G18" s="65"/>
      <c r="H18" s="66" t="str">
        <f t="shared" si="1"/>
        <v/>
      </c>
      <c r="I18" s="67" t="str">
        <f t="shared" ca="1" si="2"/>
        <v/>
      </c>
      <c r="J18" s="68" t="str">
        <f t="shared" si="0"/>
        <v/>
      </c>
      <c r="K18" s="72"/>
      <c r="L18" s="70"/>
    </row>
    <row r="19" spans="1:12" ht="15" customHeight="1">
      <c r="A19" s="63"/>
      <c r="B19" s="64"/>
      <c r="C19" s="64"/>
      <c r="D19" s="65"/>
      <c r="E19" s="86"/>
      <c r="F19" s="64"/>
      <c r="G19" s="65"/>
      <c r="H19" s="66" t="str">
        <f t="shared" si="1"/>
        <v/>
      </c>
      <c r="I19" s="67" t="str">
        <f t="shared" ca="1" si="2"/>
        <v/>
      </c>
      <c r="J19" s="68" t="str">
        <f t="shared" si="0"/>
        <v/>
      </c>
      <c r="K19" s="69"/>
      <c r="L19" s="70"/>
    </row>
    <row r="20" spans="1:12" ht="15" customHeight="1">
      <c r="A20" s="63"/>
      <c r="B20" s="64"/>
      <c r="C20" s="64"/>
      <c r="D20" s="65"/>
      <c r="E20" s="86"/>
      <c r="F20" s="64"/>
      <c r="G20" s="65"/>
      <c r="H20" s="66" t="str">
        <f t="shared" si="1"/>
        <v/>
      </c>
      <c r="I20" s="67" t="str">
        <f t="shared" ca="1" si="2"/>
        <v/>
      </c>
      <c r="J20" s="68" t="str">
        <f t="shared" si="0"/>
        <v/>
      </c>
      <c r="K20" s="69"/>
      <c r="L20" s="70"/>
    </row>
    <row r="21" spans="1:12" ht="15" customHeight="1">
      <c r="A21" s="63"/>
      <c r="B21" s="64"/>
      <c r="C21" s="64"/>
      <c r="D21" s="65"/>
      <c r="E21" s="86"/>
      <c r="F21" s="64"/>
      <c r="G21" s="65"/>
      <c r="H21" s="66" t="str">
        <f t="shared" si="1"/>
        <v/>
      </c>
      <c r="I21" s="67" t="str">
        <f t="shared" ca="1" si="2"/>
        <v/>
      </c>
      <c r="J21" s="68" t="str">
        <f t="shared" si="0"/>
        <v/>
      </c>
      <c r="K21" s="69"/>
      <c r="L21" s="70"/>
    </row>
    <row r="22" spans="1:12" ht="15" customHeight="1">
      <c r="A22" s="63"/>
      <c r="B22" s="64"/>
      <c r="C22" s="64"/>
      <c r="D22" s="65"/>
      <c r="E22" s="86"/>
      <c r="F22" s="64"/>
      <c r="G22" s="65"/>
      <c r="H22" s="66" t="str">
        <f t="shared" si="1"/>
        <v/>
      </c>
      <c r="I22" s="67" t="str">
        <f t="shared" ca="1" si="2"/>
        <v/>
      </c>
      <c r="J22" s="68" t="str">
        <f t="shared" si="0"/>
        <v/>
      </c>
      <c r="K22" s="71"/>
      <c r="L22" s="70"/>
    </row>
    <row r="23" spans="1:12" ht="15" customHeight="1">
      <c r="A23" s="63"/>
      <c r="B23" s="64"/>
      <c r="C23" s="64"/>
      <c r="D23" s="65"/>
      <c r="E23" s="86"/>
      <c r="F23" s="64"/>
      <c r="G23" s="65"/>
      <c r="H23" s="66" t="str">
        <f t="shared" si="1"/>
        <v/>
      </c>
      <c r="I23" s="67" t="str">
        <f t="shared" ca="1" si="2"/>
        <v/>
      </c>
      <c r="J23" s="68" t="str">
        <f t="shared" si="0"/>
        <v/>
      </c>
      <c r="K23" s="69"/>
      <c r="L23" s="70"/>
    </row>
    <row r="24" spans="1:12" ht="15" customHeight="1">
      <c r="A24" s="63"/>
      <c r="B24" s="64"/>
      <c r="C24" s="64"/>
      <c r="D24" s="65"/>
      <c r="E24" s="86"/>
      <c r="F24" s="64"/>
      <c r="G24" s="65"/>
      <c r="H24" s="66" t="str">
        <f t="shared" si="1"/>
        <v/>
      </c>
      <c r="I24" s="67" t="str">
        <f t="shared" ca="1" si="2"/>
        <v/>
      </c>
      <c r="J24" s="68" t="str">
        <f t="shared" si="0"/>
        <v/>
      </c>
      <c r="K24" s="69"/>
      <c r="L24" s="70"/>
    </row>
    <row r="25" spans="1:12" ht="15" customHeight="1">
      <c r="A25" s="63"/>
      <c r="B25" s="64"/>
      <c r="C25" s="64"/>
      <c r="D25" s="65"/>
      <c r="E25" s="86"/>
      <c r="F25" s="64"/>
      <c r="G25" s="65"/>
      <c r="H25" s="66" t="str">
        <f t="shared" si="1"/>
        <v/>
      </c>
      <c r="I25" s="67" t="str">
        <f t="shared" ca="1" si="2"/>
        <v/>
      </c>
      <c r="J25" s="68" t="str">
        <f t="shared" si="0"/>
        <v/>
      </c>
      <c r="K25" s="69"/>
      <c r="L25" s="70"/>
    </row>
    <row r="26" spans="1:12" ht="15" customHeight="1">
      <c r="A26" s="63"/>
      <c r="B26" s="64"/>
      <c r="C26" s="64"/>
      <c r="D26" s="65"/>
      <c r="E26" s="86"/>
      <c r="F26" s="64"/>
      <c r="G26" s="65"/>
      <c r="H26" s="66" t="str">
        <f t="shared" si="1"/>
        <v/>
      </c>
      <c r="I26" s="67" t="str">
        <f t="shared" ca="1" si="2"/>
        <v/>
      </c>
      <c r="J26" s="68" t="str">
        <f t="shared" si="0"/>
        <v/>
      </c>
      <c r="K26" s="69"/>
      <c r="L26" s="70"/>
    </row>
    <row r="27" spans="1:12" ht="15" customHeight="1">
      <c r="A27" s="63"/>
      <c r="B27" s="64"/>
      <c r="C27" s="64"/>
      <c r="D27" s="65"/>
      <c r="E27" s="86"/>
      <c r="F27" s="64"/>
      <c r="G27" s="65"/>
      <c r="H27" s="66" t="str">
        <f t="shared" si="1"/>
        <v/>
      </c>
      <c r="I27" s="67" t="str">
        <f t="shared" ca="1" si="2"/>
        <v/>
      </c>
      <c r="J27" s="68" t="str">
        <f t="shared" si="0"/>
        <v/>
      </c>
      <c r="K27" s="69"/>
      <c r="L27" s="70"/>
    </row>
    <row r="28" spans="1:12" ht="15" customHeight="1">
      <c r="A28" s="63"/>
      <c r="B28" s="64"/>
      <c r="C28" s="64"/>
      <c r="D28" s="65"/>
      <c r="E28" s="86"/>
      <c r="F28" s="64"/>
      <c r="G28" s="65"/>
      <c r="H28" s="66" t="str">
        <f t="shared" si="1"/>
        <v/>
      </c>
      <c r="I28" s="67" t="str">
        <f t="shared" ca="1" si="2"/>
        <v/>
      </c>
      <c r="J28" s="68" t="str">
        <f t="shared" si="0"/>
        <v/>
      </c>
      <c r="K28" s="71"/>
      <c r="L28" s="70"/>
    </row>
    <row r="29" spans="1:12" ht="15" customHeight="1">
      <c r="A29" s="63"/>
      <c r="B29" s="64"/>
      <c r="C29" s="64"/>
      <c r="D29" s="65"/>
      <c r="E29" s="86"/>
      <c r="F29" s="64"/>
      <c r="G29" s="65"/>
      <c r="H29" s="66" t="str">
        <f t="shared" si="1"/>
        <v/>
      </c>
      <c r="I29" s="67" t="str">
        <f t="shared" ca="1" si="2"/>
        <v/>
      </c>
      <c r="J29" s="68" t="str">
        <f t="shared" si="0"/>
        <v/>
      </c>
      <c r="K29" s="69"/>
      <c r="L29" s="70"/>
    </row>
    <row r="30" spans="1:12" ht="15" customHeight="1">
      <c r="A30" s="63"/>
      <c r="B30" s="64"/>
      <c r="C30" s="64"/>
      <c r="D30" s="65"/>
      <c r="E30" s="86"/>
      <c r="F30" s="64"/>
      <c r="G30" s="65"/>
      <c r="H30" s="66" t="str">
        <f t="shared" si="1"/>
        <v/>
      </c>
      <c r="I30" s="67" t="str">
        <f t="shared" ca="1" si="2"/>
        <v/>
      </c>
      <c r="J30" s="68" t="str">
        <f t="shared" si="0"/>
        <v/>
      </c>
      <c r="K30" s="69"/>
      <c r="L30" s="70"/>
    </row>
    <row r="31" spans="1:12" ht="15" customHeight="1">
      <c r="A31" s="63"/>
      <c r="B31" s="64"/>
      <c r="C31" s="64"/>
      <c r="D31" s="65"/>
      <c r="E31" s="86"/>
      <c r="F31" s="64"/>
      <c r="G31" s="65"/>
      <c r="H31" s="66" t="str">
        <f t="shared" si="1"/>
        <v/>
      </c>
      <c r="I31" s="67" t="str">
        <f t="shared" ca="1" si="2"/>
        <v/>
      </c>
      <c r="J31" s="68" t="str">
        <f t="shared" si="0"/>
        <v/>
      </c>
      <c r="K31" s="69"/>
      <c r="L31" s="70"/>
    </row>
    <row r="32" spans="1:12" ht="15" customHeight="1">
      <c r="A32" s="63"/>
      <c r="B32" s="64"/>
      <c r="C32" s="64"/>
      <c r="D32" s="65"/>
      <c r="E32" s="86"/>
      <c r="F32" s="64"/>
      <c r="G32" s="65"/>
      <c r="H32" s="66" t="str">
        <f t="shared" si="1"/>
        <v/>
      </c>
      <c r="I32" s="67" t="str">
        <f t="shared" ca="1" si="2"/>
        <v/>
      </c>
      <c r="J32" s="68" t="str">
        <f t="shared" si="0"/>
        <v/>
      </c>
      <c r="K32" s="69"/>
      <c r="L32" s="70"/>
    </row>
    <row r="33" spans="1:12" ht="15" customHeight="1">
      <c r="A33" s="63"/>
      <c r="B33" s="64"/>
      <c r="C33" s="64"/>
      <c r="D33" s="65"/>
      <c r="E33" s="86"/>
      <c r="F33" s="64"/>
      <c r="G33" s="65"/>
      <c r="H33" s="66" t="str">
        <f t="shared" ref="H33:H64" si="3">IF(D33="","",IF(L33="","Open","Closed"))</f>
        <v/>
      </c>
      <c r="I33" s="67" t="str">
        <f t="shared" ref="I33:I64" ca="1" si="4">IF(B33="","",IF(H33="Closed",(L33-G33),IF(ROUND((NOW()-G33),0)&lt;0,0,ROUND((NOW()-G33),0))))</f>
        <v/>
      </c>
      <c r="J33" s="68" t="str">
        <f t="shared" si="0"/>
        <v/>
      </c>
      <c r="K33" s="69"/>
      <c r="L33" s="70"/>
    </row>
    <row r="34" spans="1:12" ht="15" customHeight="1">
      <c r="A34" s="63"/>
      <c r="B34" s="64"/>
      <c r="C34" s="64"/>
      <c r="D34" s="65"/>
      <c r="E34" s="86"/>
      <c r="F34" s="64"/>
      <c r="G34" s="65"/>
      <c r="H34" s="66" t="str">
        <f t="shared" si="3"/>
        <v/>
      </c>
      <c r="I34" s="67" t="str">
        <f t="shared" ca="1" si="4"/>
        <v/>
      </c>
      <c r="J34" s="68" t="str">
        <f t="shared" si="0"/>
        <v/>
      </c>
      <c r="K34" s="69"/>
      <c r="L34" s="70"/>
    </row>
    <row r="35" spans="1:12" ht="15" customHeight="1">
      <c r="A35" s="63"/>
      <c r="B35" s="64"/>
      <c r="C35" s="64"/>
      <c r="D35" s="65"/>
      <c r="E35" s="86"/>
      <c r="F35" s="64"/>
      <c r="G35" s="65"/>
      <c r="H35" s="66" t="str">
        <f t="shared" si="3"/>
        <v/>
      </c>
      <c r="I35" s="67" t="str">
        <f t="shared" ca="1" si="4"/>
        <v/>
      </c>
      <c r="J35" s="68" t="str">
        <f t="shared" si="0"/>
        <v/>
      </c>
      <c r="K35" s="69"/>
      <c r="L35" s="70"/>
    </row>
    <row r="36" spans="1:12" ht="15" customHeight="1">
      <c r="A36" s="63"/>
      <c r="B36" s="64"/>
      <c r="C36" s="64"/>
      <c r="D36" s="65"/>
      <c r="E36" s="86"/>
      <c r="F36" s="64"/>
      <c r="G36" s="65"/>
      <c r="H36" s="66" t="str">
        <f t="shared" si="3"/>
        <v/>
      </c>
      <c r="I36" s="67" t="str">
        <f t="shared" ca="1" si="4"/>
        <v/>
      </c>
      <c r="J36" s="68" t="str">
        <f t="shared" si="0"/>
        <v/>
      </c>
      <c r="K36" s="69"/>
      <c r="L36" s="70"/>
    </row>
    <row r="37" spans="1:12" ht="15" customHeight="1">
      <c r="A37" s="63"/>
      <c r="B37" s="64"/>
      <c r="C37" s="64"/>
      <c r="D37" s="65"/>
      <c r="E37" s="86"/>
      <c r="F37" s="64"/>
      <c r="G37" s="65"/>
      <c r="H37" s="66" t="str">
        <f t="shared" si="3"/>
        <v/>
      </c>
      <c r="I37" s="67" t="str">
        <f t="shared" ca="1" si="4"/>
        <v/>
      </c>
      <c r="J37" s="68" t="str">
        <f t="shared" si="0"/>
        <v/>
      </c>
      <c r="K37" s="69"/>
      <c r="L37" s="70"/>
    </row>
    <row r="38" spans="1:12" ht="15" customHeight="1">
      <c r="A38" s="63"/>
      <c r="B38" s="64"/>
      <c r="C38" s="64"/>
      <c r="D38" s="65"/>
      <c r="E38" s="86"/>
      <c r="F38" s="64"/>
      <c r="G38" s="65"/>
      <c r="H38" s="66" t="str">
        <f t="shared" si="3"/>
        <v/>
      </c>
      <c r="I38" s="67" t="str">
        <f t="shared" ca="1" si="4"/>
        <v/>
      </c>
      <c r="J38" s="68" t="str">
        <f t="shared" si="0"/>
        <v/>
      </c>
      <c r="K38" s="71"/>
      <c r="L38" s="70"/>
    </row>
    <row r="39" spans="1:12" ht="15" customHeight="1">
      <c r="A39" s="63"/>
      <c r="B39" s="64"/>
      <c r="C39" s="64"/>
      <c r="D39" s="65"/>
      <c r="E39" s="86"/>
      <c r="F39" s="64"/>
      <c r="G39" s="65"/>
      <c r="H39" s="66" t="str">
        <f t="shared" si="3"/>
        <v/>
      </c>
      <c r="I39" s="67" t="str">
        <f t="shared" ca="1" si="4"/>
        <v/>
      </c>
      <c r="J39" s="68" t="str">
        <f t="shared" si="0"/>
        <v/>
      </c>
      <c r="K39" s="69"/>
      <c r="L39" s="70"/>
    </row>
    <row r="40" spans="1:12" ht="15" customHeight="1">
      <c r="A40" s="63"/>
      <c r="B40" s="64"/>
      <c r="C40" s="64"/>
      <c r="D40" s="65"/>
      <c r="E40" s="86"/>
      <c r="F40" s="64"/>
      <c r="G40" s="65"/>
      <c r="H40" s="66" t="str">
        <f t="shared" si="3"/>
        <v/>
      </c>
      <c r="I40" s="67" t="str">
        <f t="shared" ca="1" si="4"/>
        <v/>
      </c>
      <c r="J40" s="68" t="str">
        <f t="shared" si="0"/>
        <v/>
      </c>
      <c r="K40" s="69"/>
      <c r="L40" s="70"/>
    </row>
    <row r="41" spans="1:12" ht="15" customHeight="1">
      <c r="A41" s="63"/>
      <c r="B41" s="64"/>
      <c r="C41" s="64"/>
      <c r="D41" s="65"/>
      <c r="E41" s="86"/>
      <c r="F41" s="64"/>
      <c r="G41" s="65"/>
      <c r="H41" s="66" t="str">
        <f t="shared" si="3"/>
        <v/>
      </c>
      <c r="I41" s="67" t="str">
        <f t="shared" ca="1" si="4"/>
        <v/>
      </c>
      <c r="J41" s="68" t="str">
        <f t="shared" si="0"/>
        <v/>
      </c>
      <c r="K41" s="69"/>
      <c r="L41" s="70"/>
    </row>
    <row r="42" spans="1:12" ht="15" customHeight="1">
      <c r="A42" s="63"/>
      <c r="B42" s="64"/>
      <c r="C42" s="64"/>
      <c r="D42" s="65"/>
      <c r="E42" s="86"/>
      <c r="F42" s="64"/>
      <c r="G42" s="65"/>
      <c r="H42" s="66" t="str">
        <f t="shared" si="3"/>
        <v/>
      </c>
      <c r="I42" s="67" t="str">
        <f t="shared" ca="1" si="4"/>
        <v/>
      </c>
      <c r="J42" s="68" t="str">
        <f t="shared" si="0"/>
        <v/>
      </c>
      <c r="K42" s="69"/>
      <c r="L42" s="70"/>
    </row>
    <row r="43" spans="1:12" ht="15" customHeight="1">
      <c r="A43" s="63"/>
      <c r="B43" s="64"/>
      <c r="C43" s="64"/>
      <c r="D43" s="65"/>
      <c r="E43" s="86"/>
      <c r="F43" s="64"/>
      <c r="G43" s="65"/>
      <c r="H43" s="66" t="str">
        <f t="shared" si="3"/>
        <v/>
      </c>
      <c r="I43" s="67" t="str">
        <f t="shared" ca="1" si="4"/>
        <v/>
      </c>
      <c r="J43" s="68" t="str">
        <f t="shared" si="0"/>
        <v/>
      </c>
      <c r="K43" s="69"/>
      <c r="L43" s="70"/>
    </row>
    <row r="44" spans="1:12" ht="15" customHeight="1">
      <c r="A44" s="63"/>
      <c r="B44" s="64"/>
      <c r="C44" s="64"/>
      <c r="D44" s="65"/>
      <c r="E44" s="86"/>
      <c r="F44" s="64"/>
      <c r="G44" s="65"/>
      <c r="H44" s="66" t="str">
        <f t="shared" si="3"/>
        <v/>
      </c>
      <c r="I44" s="67" t="str">
        <f t="shared" ca="1" si="4"/>
        <v/>
      </c>
      <c r="J44" s="68" t="str">
        <f t="shared" si="0"/>
        <v/>
      </c>
      <c r="K44" s="69"/>
      <c r="L44" s="70"/>
    </row>
    <row r="45" spans="1:12" ht="15" customHeight="1">
      <c r="A45" s="63"/>
      <c r="B45" s="64"/>
      <c r="C45" s="64"/>
      <c r="D45" s="65"/>
      <c r="E45" s="86"/>
      <c r="F45" s="64"/>
      <c r="G45" s="65"/>
      <c r="H45" s="66" t="str">
        <f t="shared" si="3"/>
        <v/>
      </c>
      <c r="I45" s="67" t="str">
        <f t="shared" ca="1" si="4"/>
        <v/>
      </c>
      <c r="J45" s="68" t="str">
        <f t="shared" si="0"/>
        <v/>
      </c>
      <c r="K45" s="69"/>
      <c r="L45" s="70"/>
    </row>
    <row r="46" spans="1:12" ht="15" customHeight="1">
      <c r="A46" s="63"/>
      <c r="B46" s="64"/>
      <c r="C46" s="64"/>
      <c r="D46" s="65"/>
      <c r="E46" s="86"/>
      <c r="F46" s="64"/>
      <c r="G46" s="65"/>
      <c r="H46" s="66" t="str">
        <f t="shared" si="3"/>
        <v/>
      </c>
      <c r="I46" s="67" t="str">
        <f t="shared" ca="1" si="4"/>
        <v/>
      </c>
      <c r="J46" s="68" t="str">
        <f t="shared" si="0"/>
        <v/>
      </c>
      <c r="K46" s="69"/>
      <c r="L46" s="70"/>
    </row>
    <row r="47" spans="1:12" ht="15" customHeight="1">
      <c r="A47" s="63"/>
      <c r="B47" s="64"/>
      <c r="C47" s="64"/>
      <c r="D47" s="65"/>
      <c r="E47" s="86"/>
      <c r="F47" s="64"/>
      <c r="G47" s="65"/>
      <c r="H47" s="66" t="str">
        <f t="shared" si="3"/>
        <v/>
      </c>
      <c r="I47" s="67" t="str">
        <f t="shared" ca="1" si="4"/>
        <v/>
      </c>
      <c r="J47" s="68" t="str">
        <f t="shared" si="0"/>
        <v/>
      </c>
      <c r="K47" s="69"/>
      <c r="L47" s="70"/>
    </row>
    <row r="48" spans="1:12" ht="15" customHeight="1">
      <c r="A48" s="63"/>
      <c r="B48" s="64"/>
      <c r="C48" s="64"/>
      <c r="D48" s="65"/>
      <c r="E48" s="86"/>
      <c r="F48" s="64"/>
      <c r="G48" s="65"/>
      <c r="H48" s="66" t="str">
        <f t="shared" si="3"/>
        <v/>
      </c>
      <c r="I48" s="67" t="str">
        <f t="shared" ca="1" si="4"/>
        <v/>
      </c>
      <c r="J48" s="68" t="str">
        <f t="shared" si="0"/>
        <v/>
      </c>
      <c r="K48" s="69"/>
      <c r="L48" s="70"/>
    </row>
    <row r="49" spans="1:12" ht="15" customHeight="1">
      <c r="A49" s="63"/>
      <c r="B49" s="64"/>
      <c r="C49" s="64"/>
      <c r="D49" s="65"/>
      <c r="E49" s="86"/>
      <c r="F49" s="64"/>
      <c r="G49" s="65"/>
      <c r="H49" s="66" t="str">
        <f t="shared" si="3"/>
        <v/>
      </c>
      <c r="I49" s="67" t="str">
        <f t="shared" ca="1" si="4"/>
        <v/>
      </c>
      <c r="J49" s="68" t="str">
        <f t="shared" si="0"/>
        <v/>
      </c>
      <c r="K49" s="69"/>
      <c r="L49" s="70"/>
    </row>
    <row r="50" spans="1:12" ht="15" customHeight="1">
      <c r="A50" s="63"/>
      <c r="B50" s="64"/>
      <c r="C50" s="64"/>
      <c r="D50" s="65"/>
      <c r="E50" s="86"/>
      <c r="F50" s="64"/>
      <c r="G50" s="65"/>
      <c r="H50" s="66" t="str">
        <f t="shared" si="3"/>
        <v/>
      </c>
      <c r="I50" s="67" t="str">
        <f t="shared" ca="1" si="4"/>
        <v/>
      </c>
      <c r="J50" s="68" t="str">
        <f t="shared" si="0"/>
        <v/>
      </c>
      <c r="K50" s="69"/>
      <c r="L50" s="70"/>
    </row>
    <row r="51" spans="1:12" ht="15" customHeight="1">
      <c r="A51" s="63"/>
      <c r="B51" s="64"/>
      <c r="C51" s="64"/>
      <c r="D51" s="65"/>
      <c r="E51" s="86"/>
      <c r="F51" s="64"/>
      <c r="G51" s="65"/>
      <c r="H51" s="66" t="str">
        <f t="shared" si="3"/>
        <v/>
      </c>
      <c r="I51" s="67" t="str">
        <f t="shared" ca="1" si="4"/>
        <v/>
      </c>
      <c r="J51" s="68" t="str">
        <f t="shared" si="0"/>
        <v/>
      </c>
      <c r="K51" s="69"/>
      <c r="L51" s="70"/>
    </row>
    <row r="52" spans="1:12" ht="15" customHeight="1">
      <c r="A52" s="63"/>
      <c r="B52" s="64"/>
      <c r="C52" s="64"/>
      <c r="D52" s="65"/>
      <c r="E52" s="86"/>
      <c r="F52" s="64"/>
      <c r="G52" s="65"/>
      <c r="H52" s="66" t="str">
        <f t="shared" si="3"/>
        <v/>
      </c>
      <c r="I52" s="67" t="str">
        <f t="shared" ca="1" si="4"/>
        <v/>
      </c>
      <c r="J52" s="68" t="str">
        <f t="shared" si="0"/>
        <v/>
      </c>
      <c r="K52" s="71"/>
      <c r="L52" s="70"/>
    </row>
    <row r="53" spans="1:12" ht="15" customHeight="1">
      <c r="A53" s="63"/>
      <c r="B53" s="64"/>
      <c r="C53" s="64"/>
      <c r="D53" s="65"/>
      <c r="E53" s="86"/>
      <c r="F53" s="64"/>
      <c r="G53" s="65"/>
      <c r="H53" s="66" t="str">
        <f t="shared" si="3"/>
        <v/>
      </c>
      <c r="I53" s="67" t="str">
        <f t="shared" ca="1" si="4"/>
        <v/>
      </c>
      <c r="J53" s="68" t="str">
        <f t="shared" si="0"/>
        <v/>
      </c>
      <c r="K53" s="69"/>
      <c r="L53" s="70"/>
    </row>
    <row r="54" spans="1:12" ht="15" customHeight="1">
      <c r="A54" s="63"/>
      <c r="B54" s="64"/>
      <c r="C54" s="64"/>
      <c r="D54" s="65"/>
      <c r="E54" s="86"/>
      <c r="F54" s="64"/>
      <c r="G54" s="65"/>
      <c r="H54" s="66" t="str">
        <f t="shared" si="3"/>
        <v/>
      </c>
      <c r="I54" s="67" t="str">
        <f t="shared" ca="1" si="4"/>
        <v/>
      </c>
      <c r="J54" s="68" t="str">
        <f t="shared" si="0"/>
        <v/>
      </c>
      <c r="K54" s="69"/>
      <c r="L54" s="70"/>
    </row>
    <row r="55" spans="1:12" ht="15" customHeight="1">
      <c r="A55" s="63"/>
      <c r="B55" s="64"/>
      <c r="C55" s="64"/>
      <c r="D55" s="65"/>
      <c r="E55" s="86"/>
      <c r="F55" s="64"/>
      <c r="G55" s="65"/>
      <c r="H55" s="66" t="str">
        <f t="shared" si="3"/>
        <v/>
      </c>
      <c r="I55" s="67" t="str">
        <f t="shared" ca="1" si="4"/>
        <v/>
      </c>
      <c r="J55" s="68" t="str">
        <f t="shared" si="0"/>
        <v/>
      </c>
      <c r="K55" s="69"/>
      <c r="L55" s="70"/>
    </row>
    <row r="56" spans="1:12" ht="15" customHeight="1">
      <c r="A56" s="63"/>
      <c r="B56" s="64"/>
      <c r="C56" s="64"/>
      <c r="D56" s="65"/>
      <c r="E56" s="86"/>
      <c r="F56" s="64"/>
      <c r="G56" s="65"/>
      <c r="H56" s="66" t="str">
        <f t="shared" si="3"/>
        <v/>
      </c>
      <c r="I56" s="67" t="str">
        <f t="shared" ca="1" si="4"/>
        <v/>
      </c>
      <c r="J56" s="68" t="str">
        <f t="shared" si="0"/>
        <v/>
      </c>
      <c r="K56" s="69"/>
      <c r="L56" s="70"/>
    </row>
    <row r="57" spans="1:12" ht="15" customHeight="1">
      <c r="A57" s="63"/>
      <c r="B57" s="64"/>
      <c r="C57" s="64"/>
      <c r="D57" s="65"/>
      <c r="E57" s="86"/>
      <c r="F57" s="64"/>
      <c r="G57" s="65"/>
      <c r="H57" s="66" t="str">
        <f t="shared" si="3"/>
        <v/>
      </c>
      <c r="I57" s="67" t="str">
        <f t="shared" ca="1" si="4"/>
        <v/>
      </c>
      <c r="J57" s="68" t="str">
        <f t="shared" si="0"/>
        <v/>
      </c>
      <c r="K57" s="69"/>
      <c r="L57" s="70"/>
    </row>
    <row r="58" spans="1:12" ht="15" customHeight="1">
      <c r="A58" s="63"/>
      <c r="B58" s="64"/>
      <c r="C58" s="64"/>
      <c r="D58" s="65"/>
      <c r="E58" s="86"/>
      <c r="F58" s="64"/>
      <c r="G58" s="65"/>
      <c r="H58" s="66" t="str">
        <f t="shared" si="3"/>
        <v/>
      </c>
      <c r="I58" s="67" t="str">
        <f t="shared" ca="1" si="4"/>
        <v/>
      </c>
      <c r="J58" s="68" t="str">
        <f t="shared" si="0"/>
        <v/>
      </c>
      <c r="K58" s="69"/>
      <c r="L58" s="70"/>
    </row>
    <row r="59" spans="1:12" ht="15" customHeight="1">
      <c r="A59" s="63"/>
      <c r="B59" s="64"/>
      <c r="C59" s="64"/>
      <c r="D59" s="65"/>
      <c r="E59" s="86"/>
      <c r="F59" s="64"/>
      <c r="G59" s="65"/>
      <c r="H59" s="66" t="str">
        <f t="shared" si="3"/>
        <v/>
      </c>
      <c r="I59" s="67" t="str">
        <f t="shared" ca="1" si="4"/>
        <v/>
      </c>
      <c r="J59" s="68" t="str">
        <f t="shared" si="0"/>
        <v/>
      </c>
      <c r="K59" s="69"/>
      <c r="L59" s="70"/>
    </row>
    <row r="60" spans="1:12" ht="15" customHeight="1">
      <c r="A60" s="63"/>
      <c r="B60" s="64"/>
      <c r="C60" s="64"/>
      <c r="D60" s="65"/>
      <c r="E60" s="86"/>
      <c r="F60" s="64"/>
      <c r="G60" s="65"/>
      <c r="H60" s="66" t="str">
        <f t="shared" si="3"/>
        <v/>
      </c>
      <c r="I60" s="67" t="str">
        <f t="shared" ca="1" si="4"/>
        <v/>
      </c>
      <c r="J60" s="68" t="str">
        <f t="shared" si="0"/>
        <v/>
      </c>
      <c r="K60" s="69"/>
      <c r="L60" s="70"/>
    </row>
    <row r="61" spans="1:12" ht="15" customHeight="1">
      <c r="A61" s="63"/>
      <c r="B61" s="64"/>
      <c r="C61" s="64"/>
      <c r="D61" s="65"/>
      <c r="E61" s="86"/>
      <c r="F61" s="64"/>
      <c r="G61" s="65"/>
      <c r="H61" s="66" t="str">
        <f t="shared" si="3"/>
        <v/>
      </c>
      <c r="I61" s="67" t="str">
        <f t="shared" ca="1" si="4"/>
        <v/>
      </c>
      <c r="J61" s="68" t="str">
        <f t="shared" si="0"/>
        <v/>
      </c>
      <c r="K61" s="69"/>
      <c r="L61" s="70"/>
    </row>
    <row r="62" spans="1:12" ht="15" customHeight="1">
      <c r="A62" s="63"/>
      <c r="B62" s="64"/>
      <c r="C62" s="64"/>
      <c r="D62" s="65"/>
      <c r="E62" s="86"/>
      <c r="F62" s="64"/>
      <c r="G62" s="65"/>
      <c r="H62" s="66" t="str">
        <f t="shared" si="3"/>
        <v/>
      </c>
      <c r="I62" s="67" t="str">
        <f t="shared" ca="1" si="4"/>
        <v/>
      </c>
      <c r="J62" s="68" t="str">
        <f t="shared" si="0"/>
        <v/>
      </c>
      <c r="K62" s="69"/>
      <c r="L62" s="70"/>
    </row>
    <row r="63" spans="1:12" ht="15" customHeight="1">
      <c r="A63" s="63"/>
      <c r="B63" s="64"/>
      <c r="C63" s="64"/>
      <c r="D63" s="65"/>
      <c r="E63" s="86"/>
      <c r="F63" s="64"/>
      <c r="G63" s="65"/>
      <c r="H63" s="66" t="str">
        <f t="shared" si="3"/>
        <v/>
      </c>
      <c r="I63" s="67" t="str">
        <f t="shared" ca="1" si="4"/>
        <v/>
      </c>
      <c r="J63" s="68" t="str">
        <f t="shared" si="0"/>
        <v/>
      </c>
      <c r="K63" s="69"/>
      <c r="L63" s="70"/>
    </row>
    <row r="64" spans="1:12" ht="15" customHeight="1">
      <c r="A64" s="63"/>
      <c r="B64" s="64"/>
      <c r="C64" s="64"/>
      <c r="D64" s="65"/>
      <c r="E64" s="86"/>
      <c r="F64" s="64"/>
      <c r="G64" s="65"/>
      <c r="H64" s="66" t="str">
        <f t="shared" si="3"/>
        <v/>
      </c>
      <c r="I64" s="67" t="str">
        <f t="shared" ca="1" si="4"/>
        <v/>
      </c>
      <c r="J64" s="68" t="str">
        <f t="shared" si="0"/>
        <v/>
      </c>
      <c r="K64" s="69"/>
      <c r="L64" s="70"/>
    </row>
    <row r="65" spans="1:12" ht="15" customHeight="1">
      <c r="A65" s="63"/>
      <c r="B65" s="64"/>
      <c r="C65" s="64"/>
      <c r="D65" s="65"/>
      <c r="E65" s="86"/>
      <c r="F65" s="64"/>
      <c r="G65" s="65"/>
      <c r="H65" s="66" t="str">
        <f t="shared" ref="H65:H96" si="5">IF(D65="","",IF(L65="","Open","Closed"))</f>
        <v/>
      </c>
      <c r="I65" s="67" t="str">
        <f t="shared" ref="I65:I96" ca="1" si="6">IF(B65="","",IF(H65="Closed",(L65-G65),IF(ROUND((NOW()-G65),0)&lt;0,0,ROUND((NOW()-G65),0))))</f>
        <v/>
      </c>
      <c r="J65" s="68" t="str">
        <f t="shared" si="0"/>
        <v/>
      </c>
      <c r="K65" s="69"/>
      <c r="L65" s="70"/>
    </row>
    <row r="66" spans="1:12" ht="15" customHeight="1">
      <c r="A66" s="63"/>
      <c r="B66" s="64"/>
      <c r="C66" s="64"/>
      <c r="D66" s="65"/>
      <c r="E66" s="86"/>
      <c r="F66" s="64"/>
      <c r="G66" s="65"/>
      <c r="H66" s="66" t="str">
        <f t="shared" si="5"/>
        <v/>
      </c>
      <c r="I66" s="67" t="str">
        <f t="shared" ca="1" si="6"/>
        <v/>
      </c>
      <c r="J66" s="68" t="str">
        <f t="shared" ref="J66:J129" si="7">IF(B66="","",IF(I66&lt;5,"Green",IF(I66&lt;=10,"Yellow","Red")))</f>
        <v/>
      </c>
      <c r="K66" s="69"/>
      <c r="L66" s="70"/>
    </row>
    <row r="67" spans="1:12" ht="15" customHeight="1">
      <c r="A67" s="63"/>
      <c r="B67" s="64"/>
      <c r="C67" s="64"/>
      <c r="D67" s="65"/>
      <c r="E67" s="86"/>
      <c r="F67" s="64"/>
      <c r="G67" s="65"/>
      <c r="H67" s="66" t="str">
        <f t="shared" si="5"/>
        <v/>
      </c>
      <c r="I67" s="67" t="str">
        <f t="shared" ca="1" si="6"/>
        <v/>
      </c>
      <c r="J67" s="68" t="str">
        <f t="shared" si="7"/>
        <v/>
      </c>
      <c r="K67" s="69"/>
      <c r="L67" s="70"/>
    </row>
    <row r="68" spans="1:12" ht="15" customHeight="1">
      <c r="A68" s="63"/>
      <c r="B68" s="64"/>
      <c r="C68" s="64"/>
      <c r="D68" s="65"/>
      <c r="E68" s="86"/>
      <c r="F68" s="64"/>
      <c r="G68" s="65"/>
      <c r="H68" s="66" t="str">
        <f t="shared" si="5"/>
        <v/>
      </c>
      <c r="I68" s="67" t="str">
        <f t="shared" ca="1" si="6"/>
        <v/>
      </c>
      <c r="J68" s="68" t="str">
        <f t="shared" si="7"/>
        <v/>
      </c>
      <c r="K68" s="69"/>
      <c r="L68" s="70"/>
    </row>
    <row r="69" spans="1:12" ht="15" customHeight="1">
      <c r="A69" s="63"/>
      <c r="B69" s="64"/>
      <c r="C69" s="64"/>
      <c r="D69" s="65"/>
      <c r="E69" s="86"/>
      <c r="F69" s="64"/>
      <c r="G69" s="65"/>
      <c r="H69" s="66" t="str">
        <f t="shared" si="5"/>
        <v/>
      </c>
      <c r="I69" s="67" t="str">
        <f t="shared" ca="1" si="6"/>
        <v/>
      </c>
      <c r="J69" s="68" t="str">
        <f t="shared" si="7"/>
        <v/>
      </c>
      <c r="K69" s="71"/>
      <c r="L69" s="70"/>
    </row>
    <row r="70" spans="1:12" ht="15" customHeight="1">
      <c r="A70" s="63"/>
      <c r="B70" s="64"/>
      <c r="C70" s="64"/>
      <c r="D70" s="65"/>
      <c r="E70" s="86"/>
      <c r="F70" s="64"/>
      <c r="G70" s="65"/>
      <c r="H70" s="66" t="str">
        <f t="shared" si="5"/>
        <v/>
      </c>
      <c r="I70" s="67" t="str">
        <f t="shared" ca="1" si="6"/>
        <v/>
      </c>
      <c r="J70" s="68" t="str">
        <f t="shared" si="7"/>
        <v/>
      </c>
      <c r="K70" s="69"/>
      <c r="L70" s="70"/>
    </row>
    <row r="71" spans="1:12" ht="15" customHeight="1">
      <c r="A71" s="63"/>
      <c r="B71" s="64"/>
      <c r="C71" s="64"/>
      <c r="D71" s="65"/>
      <c r="E71" s="86"/>
      <c r="F71" s="64"/>
      <c r="G71" s="65"/>
      <c r="H71" s="66" t="str">
        <f t="shared" si="5"/>
        <v/>
      </c>
      <c r="I71" s="67" t="str">
        <f t="shared" ca="1" si="6"/>
        <v/>
      </c>
      <c r="J71" s="68" t="str">
        <f t="shared" si="7"/>
        <v/>
      </c>
      <c r="K71" s="69"/>
      <c r="L71" s="70"/>
    </row>
    <row r="72" spans="1:12" ht="15" customHeight="1">
      <c r="A72" s="63"/>
      <c r="B72" s="64"/>
      <c r="C72" s="64"/>
      <c r="D72" s="65"/>
      <c r="E72" s="86"/>
      <c r="F72" s="64"/>
      <c r="G72" s="65"/>
      <c r="H72" s="66" t="str">
        <f t="shared" si="5"/>
        <v/>
      </c>
      <c r="I72" s="67" t="str">
        <f t="shared" ca="1" si="6"/>
        <v/>
      </c>
      <c r="J72" s="68" t="str">
        <f t="shared" si="7"/>
        <v/>
      </c>
      <c r="K72" s="69"/>
      <c r="L72" s="70"/>
    </row>
    <row r="73" spans="1:12" ht="15" customHeight="1">
      <c r="A73" s="63"/>
      <c r="B73" s="64"/>
      <c r="C73" s="64"/>
      <c r="D73" s="65"/>
      <c r="E73" s="86"/>
      <c r="F73" s="64"/>
      <c r="G73" s="65"/>
      <c r="H73" s="66" t="str">
        <f t="shared" si="5"/>
        <v/>
      </c>
      <c r="I73" s="67" t="str">
        <f t="shared" ca="1" si="6"/>
        <v/>
      </c>
      <c r="J73" s="68" t="str">
        <f t="shared" si="7"/>
        <v/>
      </c>
      <c r="K73" s="69"/>
      <c r="L73" s="70"/>
    </row>
    <row r="74" spans="1:12" ht="15" customHeight="1">
      <c r="A74" s="63"/>
      <c r="B74" s="64"/>
      <c r="C74" s="64"/>
      <c r="D74" s="65"/>
      <c r="E74" s="86"/>
      <c r="F74" s="64"/>
      <c r="G74" s="65"/>
      <c r="H74" s="66" t="str">
        <f t="shared" si="5"/>
        <v/>
      </c>
      <c r="I74" s="67" t="str">
        <f t="shared" ca="1" si="6"/>
        <v/>
      </c>
      <c r="J74" s="68" t="str">
        <f t="shared" si="7"/>
        <v/>
      </c>
      <c r="K74" s="69"/>
      <c r="L74" s="70"/>
    </row>
    <row r="75" spans="1:12" ht="15" customHeight="1">
      <c r="A75" s="63"/>
      <c r="B75" s="64"/>
      <c r="C75" s="64"/>
      <c r="D75" s="65"/>
      <c r="E75" s="86"/>
      <c r="F75" s="64"/>
      <c r="G75" s="65"/>
      <c r="H75" s="66" t="str">
        <f t="shared" si="5"/>
        <v/>
      </c>
      <c r="I75" s="67" t="str">
        <f t="shared" ca="1" si="6"/>
        <v/>
      </c>
      <c r="J75" s="68" t="str">
        <f t="shared" si="7"/>
        <v/>
      </c>
      <c r="K75" s="69"/>
      <c r="L75" s="70"/>
    </row>
    <row r="76" spans="1:12" ht="15" customHeight="1">
      <c r="A76" s="63"/>
      <c r="B76" s="73"/>
      <c r="C76" s="64"/>
      <c r="D76" s="65"/>
      <c r="E76" s="86"/>
      <c r="F76" s="64"/>
      <c r="G76" s="65"/>
      <c r="H76" s="66" t="str">
        <f t="shared" si="5"/>
        <v/>
      </c>
      <c r="I76" s="67" t="str">
        <f t="shared" ca="1" si="6"/>
        <v/>
      </c>
      <c r="J76" s="68" t="str">
        <f t="shared" si="7"/>
        <v/>
      </c>
      <c r="K76" s="69"/>
      <c r="L76" s="70"/>
    </row>
    <row r="77" spans="1:12" ht="15" customHeight="1">
      <c r="A77" s="63"/>
      <c r="B77" s="64"/>
      <c r="C77" s="64"/>
      <c r="D77" s="65"/>
      <c r="E77" s="86"/>
      <c r="F77" s="64"/>
      <c r="G77" s="65"/>
      <c r="H77" s="66" t="str">
        <f t="shared" si="5"/>
        <v/>
      </c>
      <c r="I77" s="67" t="str">
        <f t="shared" ca="1" si="6"/>
        <v/>
      </c>
      <c r="J77" s="68" t="str">
        <f t="shared" si="7"/>
        <v/>
      </c>
      <c r="K77" s="69"/>
      <c r="L77" s="70"/>
    </row>
    <row r="78" spans="1:12" ht="15" customHeight="1">
      <c r="A78" s="63"/>
      <c r="B78" s="64"/>
      <c r="C78" s="64"/>
      <c r="D78" s="65"/>
      <c r="E78" s="86"/>
      <c r="F78" s="64"/>
      <c r="G78" s="65"/>
      <c r="H78" s="66" t="str">
        <f t="shared" si="5"/>
        <v/>
      </c>
      <c r="I78" s="67" t="str">
        <f t="shared" ca="1" si="6"/>
        <v/>
      </c>
      <c r="J78" s="68" t="str">
        <f t="shared" si="7"/>
        <v/>
      </c>
      <c r="K78" s="69"/>
      <c r="L78" s="70"/>
    </row>
    <row r="79" spans="1:12" ht="15" customHeight="1">
      <c r="A79" s="63"/>
      <c r="B79" s="64"/>
      <c r="C79" s="64"/>
      <c r="D79" s="65"/>
      <c r="E79" s="86"/>
      <c r="F79" s="64"/>
      <c r="G79" s="65"/>
      <c r="H79" s="66" t="str">
        <f t="shared" si="5"/>
        <v/>
      </c>
      <c r="I79" s="67" t="str">
        <f t="shared" ca="1" si="6"/>
        <v/>
      </c>
      <c r="J79" s="68" t="str">
        <f t="shared" si="7"/>
        <v/>
      </c>
      <c r="K79" s="69"/>
      <c r="L79" s="70"/>
    </row>
    <row r="80" spans="1:12" ht="15" customHeight="1">
      <c r="A80" s="63"/>
      <c r="B80" s="64"/>
      <c r="C80" s="64"/>
      <c r="D80" s="65"/>
      <c r="E80" s="86"/>
      <c r="F80" s="64"/>
      <c r="G80" s="65"/>
      <c r="H80" s="66" t="str">
        <f t="shared" si="5"/>
        <v/>
      </c>
      <c r="I80" s="67" t="str">
        <f t="shared" ca="1" si="6"/>
        <v/>
      </c>
      <c r="J80" s="68" t="str">
        <f t="shared" si="7"/>
        <v/>
      </c>
      <c r="K80" s="69"/>
      <c r="L80" s="70"/>
    </row>
    <row r="81" spans="1:12" ht="15" customHeight="1">
      <c r="A81" s="63"/>
      <c r="B81" s="64"/>
      <c r="C81" s="64"/>
      <c r="D81" s="65"/>
      <c r="E81" s="86"/>
      <c r="F81" s="64"/>
      <c r="G81" s="65"/>
      <c r="H81" s="66" t="str">
        <f t="shared" si="5"/>
        <v/>
      </c>
      <c r="I81" s="67" t="str">
        <f t="shared" ca="1" si="6"/>
        <v/>
      </c>
      <c r="J81" s="68" t="str">
        <f t="shared" si="7"/>
        <v/>
      </c>
      <c r="K81" s="69"/>
      <c r="L81" s="70"/>
    </row>
    <row r="82" spans="1:12" ht="15" customHeight="1">
      <c r="A82" s="63"/>
      <c r="B82" s="64"/>
      <c r="C82" s="64"/>
      <c r="D82" s="65"/>
      <c r="E82" s="86"/>
      <c r="F82" s="64"/>
      <c r="G82" s="65"/>
      <c r="H82" s="66" t="str">
        <f t="shared" si="5"/>
        <v/>
      </c>
      <c r="I82" s="67" t="str">
        <f t="shared" ca="1" si="6"/>
        <v/>
      </c>
      <c r="J82" s="68" t="str">
        <f t="shared" si="7"/>
        <v/>
      </c>
      <c r="K82" s="69"/>
      <c r="L82" s="70"/>
    </row>
    <row r="83" spans="1:12" ht="15" customHeight="1">
      <c r="A83" s="63"/>
      <c r="B83" s="64"/>
      <c r="C83" s="64"/>
      <c r="D83" s="65"/>
      <c r="E83" s="86"/>
      <c r="F83" s="64"/>
      <c r="G83" s="65"/>
      <c r="H83" s="66" t="str">
        <f t="shared" si="5"/>
        <v/>
      </c>
      <c r="I83" s="67" t="str">
        <f t="shared" ca="1" si="6"/>
        <v/>
      </c>
      <c r="J83" s="68" t="str">
        <f t="shared" si="7"/>
        <v/>
      </c>
      <c r="K83" s="69"/>
      <c r="L83" s="70"/>
    </row>
    <row r="84" spans="1:12" ht="15" customHeight="1">
      <c r="A84" s="63"/>
      <c r="B84" s="64"/>
      <c r="C84" s="64"/>
      <c r="D84" s="65"/>
      <c r="E84" s="86"/>
      <c r="F84" s="64"/>
      <c r="G84" s="65"/>
      <c r="H84" s="66" t="str">
        <f t="shared" si="5"/>
        <v/>
      </c>
      <c r="I84" s="67" t="str">
        <f t="shared" ca="1" si="6"/>
        <v/>
      </c>
      <c r="J84" s="68" t="str">
        <f t="shared" si="7"/>
        <v/>
      </c>
      <c r="K84" s="69"/>
      <c r="L84" s="70"/>
    </row>
    <row r="85" spans="1:12" ht="15" customHeight="1">
      <c r="A85" s="63"/>
      <c r="B85" s="64"/>
      <c r="C85" s="64"/>
      <c r="D85" s="65"/>
      <c r="E85" s="86"/>
      <c r="F85" s="64"/>
      <c r="G85" s="65"/>
      <c r="H85" s="66" t="str">
        <f t="shared" si="5"/>
        <v/>
      </c>
      <c r="I85" s="67" t="str">
        <f t="shared" ca="1" si="6"/>
        <v/>
      </c>
      <c r="J85" s="68" t="str">
        <f t="shared" si="7"/>
        <v/>
      </c>
      <c r="K85" s="69"/>
      <c r="L85" s="70"/>
    </row>
    <row r="86" spans="1:12" ht="15" customHeight="1">
      <c r="A86" s="63"/>
      <c r="B86" s="64"/>
      <c r="C86" s="64"/>
      <c r="D86" s="65"/>
      <c r="E86" s="86"/>
      <c r="F86" s="64"/>
      <c r="G86" s="65"/>
      <c r="H86" s="66" t="str">
        <f t="shared" si="5"/>
        <v/>
      </c>
      <c r="I86" s="67" t="str">
        <f t="shared" ca="1" si="6"/>
        <v/>
      </c>
      <c r="J86" s="68" t="str">
        <f t="shared" si="7"/>
        <v/>
      </c>
      <c r="K86" s="69"/>
      <c r="L86" s="70"/>
    </row>
    <row r="87" spans="1:12" ht="15" customHeight="1">
      <c r="A87" s="63"/>
      <c r="B87" s="64"/>
      <c r="C87" s="64"/>
      <c r="D87" s="65"/>
      <c r="E87" s="86"/>
      <c r="F87" s="64"/>
      <c r="G87" s="65"/>
      <c r="H87" s="66" t="str">
        <f t="shared" si="5"/>
        <v/>
      </c>
      <c r="I87" s="67" t="str">
        <f t="shared" ca="1" si="6"/>
        <v/>
      </c>
      <c r="J87" s="68" t="str">
        <f t="shared" si="7"/>
        <v/>
      </c>
      <c r="K87" s="69"/>
      <c r="L87" s="70"/>
    </row>
    <row r="88" spans="1:12" ht="15" customHeight="1">
      <c r="A88" s="63"/>
      <c r="B88" s="64"/>
      <c r="C88" s="64"/>
      <c r="D88" s="65"/>
      <c r="E88" s="86"/>
      <c r="F88" s="64"/>
      <c r="G88" s="65"/>
      <c r="H88" s="66" t="str">
        <f t="shared" si="5"/>
        <v/>
      </c>
      <c r="I88" s="67" t="str">
        <f t="shared" ca="1" si="6"/>
        <v/>
      </c>
      <c r="J88" s="68" t="str">
        <f t="shared" si="7"/>
        <v/>
      </c>
      <c r="K88" s="69"/>
      <c r="L88" s="70"/>
    </row>
    <row r="89" spans="1:12" ht="15" customHeight="1">
      <c r="A89" s="63"/>
      <c r="B89" s="64"/>
      <c r="C89" s="64"/>
      <c r="D89" s="65"/>
      <c r="E89" s="86"/>
      <c r="F89" s="64"/>
      <c r="G89" s="65"/>
      <c r="H89" s="66" t="str">
        <f t="shared" si="5"/>
        <v/>
      </c>
      <c r="I89" s="67" t="str">
        <f t="shared" ca="1" si="6"/>
        <v/>
      </c>
      <c r="J89" s="68" t="str">
        <f t="shared" si="7"/>
        <v/>
      </c>
      <c r="K89" s="69"/>
      <c r="L89" s="70"/>
    </row>
    <row r="90" spans="1:12" ht="15" customHeight="1">
      <c r="A90" s="63"/>
      <c r="B90" s="64"/>
      <c r="C90" s="64"/>
      <c r="D90" s="65"/>
      <c r="E90" s="86"/>
      <c r="F90" s="64"/>
      <c r="G90" s="65"/>
      <c r="H90" s="66" t="str">
        <f t="shared" si="5"/>
        <v/>
      </c>
      <c r="I90" s="67" t="str">
        <f t="shared" ca="1" si="6"/>
        <v/>
      </c>
      <c r="J90" s="68" t="str">
        <f t="shared" si="7"/>
        <v/>
      </c>
      <c r="K90" s="69"/>
      <c r="L90" s="70"/>
    </row>
    <row r="91" spans="1:12" ht="15" customHeight="1">
      <c r="A91" s="63"/>
      <c r="B91" s="64"/>
      <c r="C91" s="64"/>
      <c r="D91" s="65"/>
      <c r="E91" s="86"/>
      <c r="F91" s="64"/>
      <c r="G91" s="65"/>
      <c r="H91" s="66" t="str">
        <f t="shared" si="5"/>
        <v/>
      </c>
      <c r="I91" s="67" t="str">
        <f t="shared" ca="1" si="6"/>
        <v/>
      </c>
      <c r="J91" s="68" t="str">
        <f t="shared" si="7"/>
        <v/>
      </c>
      <c r="K91" s="69"/>
      <c r="L91" s="70"/>
    </row>
    <row r="92" spans="1:12" ht="15" customHeight="1">
      <c r="A92" s="63"/>
      <c r="B92" s="64"/>
      <c r="C92" s="64"/>
      <c r="D92" s="65"/>
      <c r="E92" s="86"/>
      <c r="F92" s="64"/>
      <c r="G92" s="65"/>
      <c r="H92" s="66" t="str">
        <f t="shared" si="5"/>
        <v/>
      </c>
      <c r="I92" s="67" t="str">
        <f t="shared" ca="1" si="6"/>
        <v/>
      </c>
      <c r="J92" s="68" t="str">
        <f t="shared" si="7"/>
        <v/>
      </c>
      <c r="K92" s="69"/>
      <c r="L92" s="70"/>
    </row>
    <row r="93" spans="1:12" ht="15" customHeight="1">
      <c r="A93" s="63"/>
      <c r="B93" s="64"/>
      <c r="C93" s="64"/>
      <c r="D93" s="65"/>
      <c r="E93" s="86"/>
      <c r="F93" s="64"/>
      <c r="G93" s="65"/>
      <c r="H93" s="66" t="str">
        <f t="shared" si="5"/>
        <v/>
      </c>
      <c r="I93" s="67" t="str">
        <f t="shared" ca="1" si="6"/>
        <v/>
      </c>
      <c r="J93" s="68" t="str">
        <f t="shared" si="7"/>
        <v/>
      </c>
      <c r="K93" s="69"/>
      <c r="L93" s="70"/>
    </row>
    <row r="94" spans="1:12" ht="15" customHeight="1">
      <c r="A94" s="63"/>
      <c r="B94" s="64"/>
      <c r="C94" s="64"/>
      <c r="D94" s="65"/>
      <c r="E94" s="86"/>
      <c r="F94" s="64"/>
      <c r="G94" s="65"/>
      <c r="H94" s="66" t="str">
        <f t="shared" si="5"/>
        <v/>
      </c>
      <c r="I94" s="67" t="str">
        <f t="shared" ca="1" si="6"/>
        <v/>
      </c>
      <c r="J94" s="68" t="str">
        <f t="shared" si="7"/>
        <v/>
      </c>
      <c r="K94" s="69"/>
      <c r="L94" s="70"/>
    </row>
    <row r="95" spans="1:12" ht="15" customHeight="1">
      <c r="A95" s="63"/>
      <c r="B95" s="64"/>
      <c r="C95" s="64"/>
      <c r="D95" s="65"/>
      <c r="E95" s="86"/>
      <c r="F95" s="64"/>
      <c r="G95" s="65"/>
      <c r="H95" s="66" t="str">
        <f t="shared" si="5"/>
        <v/>
      </c>
      <c r="I95" s="67" t="str">
        <f t="shared" ca="1" si="6"/>
        <v/>
      </c>
      <c r="J95" s="68" t="str">
        <f t="shared" si="7"/>
        <v/>
      </c>
      <c r="K95" s="69"/>
      <c r="L95" s="70"/>
    </row>
    <row r="96" spans="1:12" ht="15" customHeight="1">
      <c r="A96" s="63"/>
      <c r="B96" s="64"/>
      <c r="C96" s="64"/>
      <c r="D96" s="65"/>
      <c r="E96" s="86"/>
      <c r="F96" s="64"/>
      <c r="G96" s="65"/>
      <c r="H96" s="66" t="str">
        <f t="shared" si="5"/>
        <v/>
      </c>
      <c r="I96" s="67" t="str">
        <f t="shared" ca="1" si="6"/>
        <v/>
      </c>
      <c r="J96" s="68" t="str">
        <f t="shared" si="7"/>
        <v/>
      </c>
      <c r="K96" s="69"/>
      <c r="L96" s="70"/>
    </row>
    <row r="97" spans="1:12" ht="15" customHeight="1">
      <c r="A97" s="63"/>
      <c r="B97" s="64"/>
      <c r="C97" s="64"/>
      <c r="D97" s="65"/>
      <c r="E97" s="86"/>
      <c r="F97" s="64"/>
      <c r="G97" s="65"/>
      <c r="H97" s="66" t="str">
        <f t="shared" ref="H97:H128" si="8">IF(D97="","",IF(L97="","Open","Closed"))</f>
        <v/>
      </c>
      <c r="I97" s="67" t="str">
        <f t="shared" ref="I97:I128" ca="1" si="9">IF(B97="","",IF(H97="Closed",(L97-G97),IF(ROUND((NOW()-G97),0)&lt;0,0,ROUND((NOW()-G97),0))))</f>
        <v/>
      </c>
      <c r="J97" s="68" t="str">
        <f t="shared" si="7"/>
        <v/>
      </c>
      <c r="K97" s="69"/>
      <c r="L97" s="70"/>
    </row>
    <row r="98" spans="1:12" ht="15" customHeight="1">
      <c r="A98" s="63"/>
      <c r="B98" s="64"/>
      <c r="C98" s="64"/>
      <c r="D98" s="65"/>
      <c r="E98" s="86"/>
      <c r="F98" s="64"/>
      <c r="G98" s="65"/>
      <c r="H98" s="66" t="str">
        <f t="shared" si="8"/>
        <v/>
      </c>
      <c r="I98" s="67" t="str">
        <f t="shared" ca="1" si="9"/>
        <v/>
      </c>
      <c r="J98" s="68" t="str">
        <f t="shared" si="7"/>
        <v/>
      </c>
      <c r="K98" s="69"/>
      <c r="L98" s="70"/>
    </row>
    <row r="99" spans="1:12" ht="15" customHeight="1">
      <c r="A99" s="63"/>
      <c r="B99" s="64"/>
      <c r="C99" s="64"/>
      <c r="D99" s="65"/>
      <c r="E99" s="86"/>
      <c r="F99" s="64"/>
      <c r="G99" s="65"/>
      <c r="H99" s="66" t="str">
        <f t="shared" si="8"/>
        <v/>
      </c>
      <c r="I99" s="67" t="str">
        <f t="shared" ca="1" si="9"/>
        <v/>
      </c>
      <c r="J99" s="68" t="str">
        <f t="shared" si="7"/>
        <v/>
      </c>
      <c r="K99" s="69"/>
      <c r="L99" s="70"/>
    </row>
    <row r="100" spans="1:12" ht="15" customHeight="1">
      <c r="A100" s="63"/>
      <c r="B100" s="64"/>
      <c r="C100" s="64"/>
      <c r="D100" s="65"/>
      <c r="E100" s="86"/>
      <c r="F100" s="64"/>
      <c r="G100" s="65"/>
      <c r="H100" s="66" t="str">
        <f t="shared" si="8"/>
        <v/>
      </c>
      <c r="I100" s="67" t="str">
        <f t="shared" ca="1" si="9"/>
        <v/>
      </c>
      <c r="J100" s="68" t="str">
        <f t="shared" si="7"/>
        <v/>
      </c>
      <c r="K100" s="71"/>
      <c r="L100" s="70"/>
    </row>
    <row r="101" spans="1:12" ht="15" customHeight="1">
      <c r="A101" s="63"/>
      <c r="B101" s="64"/>
      <c r="C101" s="64"/>
      <c r="D101" s="65"/>
      <c r="E101" s="86"/>
      <c r="F101" s="64"/>
      <c r="G101" s="65"/>
      <c r="H101" s="66" t="str">
        <f t="shared" si="8"/>
        <v/>
      </c>
      <c r="I101" s="67" t="str">
        <f t="shared" ca="1" si="9"/>
        <v/>
      </c>
      <c r="J101" s="68" t="str">
        <f t="shared" si="7"/>
        <v/>
      </c>
      <c r="K101" s="69"/>
      <c r="L101" s="70"/>
    </row>
    <row r="102" spans="1:12" ht="15" customHeight="1">
      <c r="A102" s="63"/>
      <c r="B102" s="64"/>
      <c r="C102" s="64"/>
      <c r="D102" s="65"/>
      <c r="E102" s="86"/>
      <c r="F102" s="64"/>
      <c r="G102" s="65"/>
      <c r="H102" s="66" t="str">
        <f t="shared" si="8"/>
        <v/>
      </c>
      <c r="I102" s="67" t="str">
        <f t="shared" ca="1" si="9"/>
        <v/>
      </c>
      <c r="J102" s="68" t="str">
        <f t="shared" si="7"/>
        <v/>
      </c>
      <c r="K102" s="69"/>
      <c r="L102" s="70"/>
    </row>
    <row r="103" spans="1:12" ht="15" customHeight="1">
      <c r="A103" s="63"/>
      <c r="B103" s="64"/>
      <c r="C103" s="64"/>
      <c r="D103" s="65"/>
      <c r="E103" s="86"/>
      <c r="F103" s="64"/>
      <c r="G103" s="65"/>
      <c r="H103" s="66" t="str">
        <f t="shared" si="8"/>
        <v/>
      </c>
      <c r="I103" s="67" t="str">
        <f t="shared" ca="1" si="9"/>
        <v/>
      </c>
      <c r="J103" s="68" t="str">
        <f t="shared" si="7"/>
        <v/>
      </c>
      <c r="K103" s="69"/>
      <c r="L103" s="70"/>
    </row>
    <row r="104" spans="1:12" ht="15" customHeight="1">
      <c r="A104" s="63"/>
      <c r="B104" s="64"/>
      <c r="C104" s="64"/>
      <c r="D104" s="65"/>
      <c r="E104" s="86"/>
      <c r="F104" s="64"/>
      <c r="G104" s="65"/>
      <c r="H104" s="66" t="str">
        <f t="shared" si="8"/>
        <v/>
      </c>
      <c r="I104" s="67" t="str">
        <f t="shared" ca="1" si="9"/>
        <v/>
      </c>
      <c r="J104" s="68" t="str">
        <f t="shared" si="7"/>
        <v/>
      </c>
      <c r="K104" s="69"/>
      <c r="L104" s="70"/>
    </row>
    <row r="105" spans="1:12" ht="15" customHeight="1">
      <c r="A105" s="63"/>
      <c r="B105" s="64"/>
      <c r="C105" s="64"/>
      <c r="D105" s="65"/>
      <c r="E105" s="86"/>
      <c r="F105" s="64"/>
      <c r="G105" s="65"/>
      <c r="H105" s="66" t="str">
        <f t="shared" si="8"/>
        <v/>
      </c>
      <c r="I105" s="67" t="str">
        <f t="shared" ca="1" si="9"/>
        <v/>
      </c>
      <c r="J105" s="68" t="str">
        <f t="shared" si="7"/>
        <v/>
      </c>
      <c r="K105" s="69"/>
      <c r="L105" s="70"/>
    </row>
    <row r="106" spans="1:12" ht="15" customHeight="1">
      <c r="A106" s="63"/>
      <c r="B106" s="64"/>
      <c r="C106" s="64"/>
      <c r="D106" s="65"/>
      <c r="E106" s="86"/>
      <c r="F106" s="64"/>
      <c r="G106" s="65"/>
      <c r="H106" s="66" t="str">
        <f t="shared" si="8"/>
        <v/>
      </c>
      <c r="I106" s="67" t="str">
        <f t="shared" ca="1" si="9"/>
        <v/>
      </c>
      <c r="J106" s="68" t="str">
        <f t="shared" si="7"/>
        <v/>
      </c>
      <c r="K106" s="69"/>
      <c r="L106" s="70"/>
    </row>
    <row r="107" spans="1:12" ht="15" customHeight="1">
      <c r="A107" s="63"/>
      <c r="B107" s="64"/>
      <c r="C107" s="64"/>
      <c r="D107" s="65"/>
      <c r="E107" s="86"/>
      <c r="F107" s="64"/>
      <c r="G107" s="65"/>
      <c r="H107" s="66" t="str">
        <f t="shared" si="8"/>
        <v/>
      </c>
      <c r="I107" s="67" t="str">
        <f t="shared" ca="1" si="9"/>
        <v/>
      </c>
      <c r="J107" s="68" t="str">
        <f t="shared" si="7"/>
        <v/>
      </c>
      <c r="K107" s="69"/>
      <c r="L107" s="70"/>
    </row>
    <row r="108" spans="1:12" ht="15" customHeight="1">
      <c r="A108" s="63"/>
      <c r="B108" s="64"/>
      <c r="C108" s="64"/>
      <c r="D108" s="65"/>
      <c r="E108" s="86"/>
      <c r="F108" s="64"/>
      <c r="G108" s="65"/>
      <c r="H108" s="66" t="str">
        <f t="shared" si="8"/>
        <v/>
      </c>
      <c r="I108" s="67" t="str">
        <f t="shared" ca="1" si="9"/>
        <v/>
      </c>
      <c r="J108" s="68" t="str">
        <f t="shared" si="7"/>
        <v/>
      </c>
      <c r="K108" s="69"/>
      <c r="L108" s="70"/>
    </row>
    <row r="109" spans="1:12" ht="15" customHeight="1">
      <c r="A109" s="63"/>
      <c r="B109" s="64"/>
      <c r="C109" s="64"/>
      <c r="D109" s="65"/>
      <c r="E109" s="86"/>
      <c r="F109" s="64"/>
      <c r="G109" s="65"/>
      <c r="H109" s="66" t="str">
        <f t="shared" si="8"/>
        <v/>
      </c>
      <c r="I109" s="67" t="str">
        <f t="shared" ca="1" si="9"/>
        <v/>
      </c>
      <c r="J109" s="68" t="str">
        <f t="shared" si="7"/>
        <v/>
      </c>
      <c r="K109" s="69"/>
      <c r="L109" s="70"/>
    </row>
    <row r="110" spans="1:12" ht="15" customHeight="1">
      <c r="A110" s="63"/>
      <c r="B110" s="64"/>
      <c r="C110" s="64"/>
      <c r="D110" s="65"/>
      <c r="E110" s="86"/>
      <c r="F110" s="64"/>
      <c r="G110" s="65"/>
      <c r="H110" s="66" t="str">
        <f t="shared" si="8"/>
        <v/>
      </c>
      <c r="I110" s="67" t="str">
        <f t="shared" ca="1" si="9"/>
        <v/>
      </c>
      <c r="J110" s="68" t="str">
        <f t="shared" si="7"/>
        <v/>
      </c>
      <c r="K110" s="69"/>
      <c r="L110" s="70"/>
    </row>
    <row r="111" spans="1:12" ht="15" customHeight="1">
      <c r="A111" s="63"/>
      <c r="B111" s="64"/>
      <c r="C111" s="64"/>
      <c r="D111" s="65"/>
      <c r="E111" s="86"/>
      <c r="F111" s="64"/>
      <c r="G111" s="65"/>
      <c r="H111" s="66" t="str">
        <f t="shared" si="8"/>
        <v/>
      </c>
      <c r="I111" s="67" t="str">
        <f t="shared" ca="1" si="9"/>
        <v/>
      </c>
      <c r="J111" s="68" t="str">
        <f t="shared" si="7"/>
        <v/>
      </c>
      <c r="K111" s="69"/>
      <c r="L111" s="70"/>
    </row>
    <row r="112" spans="1:12" ht="15" customHeight="1">
      <c r="A112" s="63"/>
      <c r="B112" s="64"/>
      <c r="C112" s="64"/>
      <c r="D112" s="65"/>
      <c r="E112" s="86"/>
      <c r="F112" s="64"/>
      <c r="G112" s="65"/>
      <c r="H112" s="66" t="str">
        <f t="shared" si="8"/>
        <v/>
      </c>
      <c r="I112" s="67" t="str">
        <f t="shared" ca="1" si="9"/>
        <v/>
      </c>
      <c r="J112" s="68" t="str">
        <f t="shared" si="7"/>
        <v/>
      </c>
      <c r="K112" s="69"/>
      <c r="L112" s="70"/>
    </row>
    <row r="113" spans="1:12" ht="15" customHeight="1">
      <c r="A113" s="63"/>
      <c r="B113" s="64"/>
      <c r="C113" s="64"/>
      <c r="D113" s="65"/>
      <c r="E113" s="86"/>
      <c r="F113" s="64"/>
      <c r="G113" s="65"/>
      <c r="H113" s="66" t="str">
        <f t="shared" si="8"/>
        <v/>
      </c>
      <c r="I113" s="67" t="str">
        <f t="shared" ca="1" si="9"/>
        <v/>
      </c>
      <c r="J113" s="68" t="str">
        <f t="shared" si="7"/>
        <v/>
      </c>
      <c r="K113" s="69"/>
      <c r="L113" s="70"/>
    </row>
    <row r="114" spans="1:12" ht="15" customHeight="1">
      <c r="A114" s="63"/>
      <c r="B114" s="64"/>
      <c r="C114" s="64"/>
      <c r="D114" s="65"/>
      <c r="E114" s="86"/>
      <c r="F114" s="64"/>
      <c r="G114" s="65"/>
      <c r="H114" s="66" t="str">
        <f t="shared" si="8"/>
        <v/>
      </c>
      <c r="I114" s="67" t="str">
        <f t="shared" ca="1" si="9"/>
        <v/>
      </c>
      <c r="J114" s="68" t="str">
        <f t="shared" si="7"/>
        <v/>
      </c>
      <c r="K114" s="69"/>
      <c r="L114" s="70"/>
    </row>
    <row r="115" spans="1:12" ht="15" customHeight="1">
      <c r="A115" s="63"/>
      <c r="B115" s="64"/>
      <c r="C115" s="64"/>
      <c r="D115" s="65"/>
      <c r="E115" s="86"/>
      <c r="F115" s="64"/>
      <c r="G115" s="65"/>
      <c r="H115" s="66" t="str">
        <f t="shared" si="8"/>
        <v/>
      </c>
      <c r="I115" s="67" t="str">
        <f t="shared" ca="1" si="9"/>
        <v/>
      </c>
      <c r="J115" s="68" t="str">
        <f t="shared" si="7"/>
        <v/>
      </c>
      <c r="K115" s="69"/>
      <c r="L115" s="70"/>
    </row>
    <row r="116" spans="1:12" ht="15" customHeight="1">
      <c r="A116" s="63"/>
      <c r="B116" s="64"/>
      <c r="C116" s="64"/>
      <c r="D116" s="65"/>
      <c r="E116" s="86"/>
      <c r="F116" s="64"/>
      <c r="G116" s="65"/>
      <c r="H116" s="66" t="str">
        <f t="shared" si="8"/>
        <v/>
      </c>
      <c r="I116" s="67" t="str">
        <f t="shared" ca="1" si="9"/>
        <v/>
      </c>
      <c r="J116" s="68" t="str">
        <f t="shared" si="7"/>
        <v/>
      </c>
      <c r="K116" s="69"/>
      <c r="L116" s="70"/>
    </row>
    <row r="117" spans="1:12" ht="15" customHeight="1">
      <c r="A117" s="63"/>
      <c r="B117" s="64"/>
      <c r="C117" s="64"/>
      <c r="D117" s="65"/>
      <c r="E117" s="86"/>
      <c r="F117" s="64"/>
      <c r="G117" s="65"/>
      <c r="H117" s="66" t="str">
        <f t="shared" si="8"/>
        <v/>
      </c>
      <c r="I117" s="67" t="str">
        <f t="shared" ca="1" si="9"/>
        <v/>
      </c>
      <c r="J117" s="68" t="str">
        <f t="shared" si="7"/>
        <v/>
      </c>
      <c r="K117" s="69"/>
      <c r="L117" s="70"/>
    </row>
    <row r="118" spans="1:12" ht="15" customHeight="1">
      <c r="A118" s="63"/>
      <c r="B118" s="64"/>
      <c r="C118" s="64"/>
      <c r="D118" s="65"/>
      <c r="E118" s="86"/>
      <c r="F118" s="64"/>
      <c r="G118" s="65"/>
      <c r="H118" s="66" t="str">
        <f t="shared" si="8"/>
        <v/>
      </c>
      <c r="I118" s="67" t="str">
        <f t="shared" ca="1" si="9"/>
        <v/>
      </c>
      <c r="J118" s="68" t="str">
        <f t="shared" si="7"/>
        <v/>
      </c>
      <c r="K118" s="69"/>
      <c r="L118" s="70"/>
    </row>
    <row r="119" spans="1:12" ht="15" customHeight="1">
      <c r="A119" s="63"/>
      <c r="B119" s="64"/>
      <c r="C119" s="64"/>
      <c r="D119" s="65"/>
      <c r="E119" s="86"/>
      <c r="F119" s="64"/>
      <c r="G119" s="65"/>
      <c r="H119" s="66" t="str">
        <f t="shared" si="8"/>
        <v/>
      </c>
      <c r="I119" s="67" t="str">
        <f t="shared" ca="1" si="9"/>
        <v/>
      </c>
      <c r="J119" s="68" t="str">
        <f t="shared" si="7"/>
        <v/>
      </c>
      <c r="K119" s="69"/>
      <c r="L119" s="70"/>
    </row>
    <row r="120" spans="1:12" ht="15" customHeight="1">
      <c r="A120" s="63"/>
      <c r="B120" s="64"/>
      <c r="C120" s="64"/>
      <c r="D120" s="65"/>
      <c r="E120" s="86"/>
      <c r="F120" s="64"/>
      <c r="G120" s="65"/>
      <c r="H120" s="66" t="str">
        <f t="shared" si="8"/>
        <v/>
      </c>
      <c r="I120" s="67" t="str">
        <f t="shared" ca="1" si="9"/>
        <v/>
      </c>
      <c r="J120" s="68" t="str">
        <f t="shared" si="7"/>
        <v/>
      </c>
      <c r="K120" s="69"/>
      <c r="L120" s="70"/>
    </row>
    <row r="121" spans="1:12" ht="15" customHeight="1">
      <c r="A121" s="63"/>
      <c r="B121" s="64"/>
      <c r="C121" s="64"/>
      <c r="D121" s="65"/>
      <c r="E121" s="86"/>
      <c r="F121" s="64"/>
      <c r="G121" s="65"/>
      <c r="H121" s="66" t="str">
        <f t="shared" si="8"/>
        <v/>
      </c>
      <c r="I121" s="67" t="str">
        <f t="shared" ca="1" si="9"/>
        <v/>
      </c>
      <c r="J121" s="68" t="str">
        <f t="shared" si="7"/>
        <v/>
      </c>
      <c r="K121" s="69"/>
      <c r="L121" s="70"/>
    </row>
    <row r="122" spans="1:12" ht="15" customHeight="1">
      <c r="A122" s="63"/>
      <c r="B122" s="64"/>
      <c r="C122" s="64"/>
      <c r="D122" s="65"/>
      <c r="E122" s="86"/>
      <c r="F122" s="64"/>
      <c r="G122" s="65"/>
      <c r="H122" s="66" t="str">
        <f t="shared" si="8"/>
        <v/>
      </c>
      <c r="I122" s="67" t="str">
        <f t="shared" ca="1" si="9"/>
        <v/>
      </c>
      <c r="J122" s="68" t="str">
        <f t="shared" si="7"/>
        <v/>
      </c>
      <c r="K122" s="69"/>
      <c r="L122" s="70"/>
    </row>
    <row r="123" spans="1:12" ht="15" customHeight="1">
      <c r="A123" s="63"/>
      <c r="B123" s="64"/>
      <c r="C123" s="64"/>
      <c r="D123" s="65"/>
      <c r="E123" s="86"/>
      <c r="F123" s="64"/>
      <c r="G123" s="65"/>
      <c r="H123" s="66" t="str">
        <f t="shared" si="8"/>
        <v/>
      </c>
      <c r="I123" s="67" t="str">
        <f t="shared" ca="1" si="9"/>
        <v/>
      </c>
      <c r="J123" s="68" t="str">
        <f t="shared" si="7"/>
        <v/>
      </c>
      <c r="K123" s="69"/>
      <c r="L123" s="70"/>
    </row>
    <row r="124" spans="1:12" ht="15" customHeight="1">
      <c r="A124" s="63"/>
      <c r="B124" s="64"/>
      <c r="C124" s="64"/>
      <c r="D124" s="65"/>
      <c r="E124" s="86"/>
      <c r="F124" s="64"/>
      <c r="G124" s="65"/>
      <c r="H124" s="66" t="str">
        <f t="shared" si="8"/>
        <v/>
      </c>
      <c r="I124" s="67" t="str">
        <f t="shared" ca="1" si="9"/>
        <v/>
      </c>
      <c r="J124" s="68" t="str">
        <f t="shared" si="7"/>
        <v/>
      </c>
      <c r="K124" s="69"/>
      <c r="L124" s="70"/>
    </row>
    <row r="125" spans="1:12" ht="15" customHeight="1">
      <c r="A125" s="63"/>
      <c r="B125" s="64"/>
      <c r="C125" s="64"/>
      <c r="D125" s="65"/>
      <c r="E125" s="86"/>
      <c r="F125" s="64"/>
      <c r="G125" s="65"/>
      <c r="H125" s="66" t="str">
        <f t="shared" si="8"/>
        <v/>
      </c>
      <c r="I125" s="67" t="str">
        <f t="shared" ca="1" si="9"/>
        <v/>
      </c>
      <c r="J125" s="68" t="str">
        <f t="shared" si="7"/>
        <v/>
      </c>
      <c r="K125" s="69"/>
      <c r="L125" s="70"/>
    </row>
    <row r="126" spans="1:12" ht="15" customHeight="1">
      <c r="A126" s="63"/>
      <c r="B126" s="64"/>
      <c r="C126" s="64"/>
      <c r="D126" s="65"/>
      <c r="E126" s="86"/>
      <c r="F126" s="64"/>
      <c r="G126" s="65"/>
      <c r="H126" s="66" t="str">
        <f t="shared" si="8"/>
        <v/>
      </c>
      <c r="I126" s="67" t="str">
        <f t="shared" ca="1" si="9"/>
        <v/>
      </c>
      <c r="J126" s="68" t="str">
        <f t="shared" si="7"/>
        <v/>
      </c>
      <c r="K126" s="69"/>
      <c r="L126" s="70"/>
    </row>
    <row r="127" spans="1:12" ht="15" customHeight="1">
      <c r="A127" s="63"/>
      <c r="B127" s="64"/>
      <c r="C127" s="64"/>
      <c r="D127" s="65"/>
      <c r="E127" s="86"/>
      <c r="F127" s="64"/>
      <c r="G127" s="65"/>
      <c r="H127" s="66" t="str">
        <f t="shared" si="8"/>
        <v/>
      </c>
      <c r="I127" s="67" t="str">
        <f t="shared" ca="1" si="9"/>
        <v/>
      </c>
      <c r="J127" s="68" t="str">
        <f t="shared" si="7"/>
        <v/>
      </c>
      <c r="K127" s="69"/>
      <c r="L127" s="70"/>
    </row>
    <row r="128" spans="1:12" ht="15" customHeight="1">
      <c r="A128" s="63"/>
      <c r="B128" s="64"/>
      <c r="C128" s="64"/>
      <c r="D128" s="65"/>
      <c r="E128" s="86"/>
      <c r="F128" s="64"/>
      <c r="G128" s="65"/>
      <c r="H128" s="66" t="str">
        <f t="shared" si="8"/>
        <v/>
      </c>
      <c r="I128" s="67" t="str">
        <f t="shared" ca="1" si="9"/>
        <v/>
      </c>
      <c r="J128" s="68" t="str">
        <f t="shared" si="7"/>
        <v/>
      </c>
      <c r="K128" s="69"/>
      <c r="L128" s="70"/>
    </row>
    <row r="129" spans="1:12" ht="15" customHeight="1">
      <c r="A129" s="63"/>
      <c r="B129" s="64"/>
      <c r="C129" s="64"/>
      <c r="D129" s="65"/>
      <c r="E129" s="86"/>
      <c r="F129" s="64"/>
      <c r="G129" s="65"/>
      <c r="H129" s="66" t="str">
        <f t="shared" ref="H129:H160" si="10">IF(D129="","",IF(L129="","Open","Closed"))</f>
        <v/>
      </c>
      <c r="I129" s="67" t="str">
        <f t="shared" ref="I129:I160" ca="1" si="11">IF(B129="","",IF(H129="Closed",(L129-G129),IF(ROUND((NOW()-G129),0)&lt;0,0,ROUND((NOW()-G129),0))))</f>
        <v/>
      </c>
      <c r="J129" s="68" t="str">
        <f t="shared" si="7"/>
        <v/>
      </c>
      <c r="K129" s="69"/>
      <c r="L129" s="70"/>
    </row>
    <row r="130" spans="1:12" ht="15" customHeight="1">
      <c r="A130" s="63"/>
      <c r="B130" s="64"/>
      <c r="C130" s="64"/>
      <c r="D130" s="65"/>
      <c r="E130" s="86"/>
      <c r="F130" s="64"/>
      <c r="G130" s="65"/>
      <c r="H130" s="66" t="str">
        <f t="shared" si="10"/>
        <v/>
      </c>
      <c r="I130" s="67" t="str">
        <f t="shared" ca="1" si="11"/>
        <v/>
      </c>
      <c r="J130" s="68" t="str">
        <f t="shared" ref="J130:J190" si="12">IF(B130="","",IF(I130&lt;5,"Green",IF(I130&lt;=10,"Yellow","Red")))</f>
        <v/>
      </c>
      <c r="K130" s="69"/>
      <c r="L130" s="70"/>
    </row>
    <row r="131" spans="1:12" ht="15" customHeight="1">
      <c r="A131" s="63"/>
      <c r="B131" s="64"/>
      <c r="C131" s="64"/>
      <c r="D131" s="65"/>
      <c r="E131" s="86"/>
      <c r="F131" s="64"/>
      <c r="G131" s="65"/>
      <c r="H131" s="66" t="str">
        <f t="shared" si="10"/>
        <v/>
      </c>
      <c r="I131" s="67" t="str">
        <f t="shared" ca="1" si="11"/>
        <v/>
      </c>
      <c r="J131" s="68" t="str">
        <f t="shared" si="12"/>
        <v/>
      </c>
      <c r="K131" s="69"/>
      <c r="L131" s="70"/>
    </row>
    <row r="132" spans="1:12" ht="15" customHeight="1">
      <c r="A132" s="63"/>
      <c r="B132" s="64"/>
      <c r="C132" s="64"/>
      <c r="D132" s="65"/>
      <c r="E132" s="86"/>
      <c r="F132" s="64"/>
      <c r="G132" s="65"/>
      <c r="H132" s="66" t="str">
        <f t="shared" si="10"/>
        <v/>
      </c>
      <c r="I132" s="67" t="str">
        <f t="shared" ca="1" si="11"/>
        <v/>
      </c>
      <c r="J132" s="68" t="str">
        <f t="shared" si="12"/>
        <v/>
      </c>
      <c r="K132" s="69"/>
      <c r="L132" s="70"/>
    </row>
    <row r="133" spans="1:12" ht="15" customHeight="1">
      <c r="A133" s="63"/>
      <c r="B133" s="64"/>
      <c r="C133" s="64"/>
      <c r="D133" s="65"/>
      <c r="E133" s="86"/>
      <c r="F133" s="64"/>
      <c r="G133" s="65"/>
      <c r="H133" s="66" t="str">
        <f t="shared" si="10"/>
        <v/>
      </c>
      <c r="I133" s="67" t="str">
        <f t="shared" ca="1" si="11"/>
        <v/>
      </c>
      <c r="J133" s="68" t="str">
        <f t="shared" si="12"/>
        <v/>
      </c>
      <c r="K133" s="69"/>
      <c r="L133" s="70"/>
    </row>
    <row r="134" spans="1:12" ht="15" customHeight="1">
      <c r="A134" s="63"/>
      <c r="B134" s="64"/>
      <c r="C134" s="64"/>
      <c r="D134" s="65"/>
      <c r="E134" s="86"/>
      <c r="F134" s="64"/>
      <c r="G134" s="65"/>
      <c r="H134" s="66" t="str">
        <f t="shared" si="10"/>
        <v/>
      </c>
      <c r="I134" s="67" t="str">
        <f t="shared" ca="1" si="11"/>
        <v/>
      </c>
      <c r="J134" s="68" t="str">
        <f t="shared" si="12"/>
        <v/>
      </c>
      <c r="K134" s="69"/>
      <c r="L134" s="70"/>
    </row>
    <row r="135" spans="1:12" ht="15" customHeight="1">
      <c r="A135" s="63"/>
      <c r="B135" s="64"/>
      <c r="C135" s="64"/>
      <c r="D135" s="65"/>
      <c r="E135" s="86"/>
      <c r="F135" s="64"/>
      <c r="G135" s="65"/>
      <c r="H135" s="66" t="str">
        <f t="shared" si="10"/>
        <v/>
      </c>
      <c r="I135" s="67" t="str">
        <f t="shared" ca="1" si="11"/>
        <v/>
      </c>
      <c r="J135" s="68" t="str">
        <f t="shared" si="12"/>
        <v/>
      </c>
      <c r="K135" s="69"/>
      <c r="L135" s="70"/>
    </row>
    <row r="136" spans="1:12" ht="15" customHeight="1">
      <c r="A136" s="63"/>
      <c r="B136" s="64"/>
      <c r="C136" s="64"/>
      <c r="D136" s="65"/>
      <c r="E136" s="86"/>
      <c r="F136" s="64"/>
      <c r="G136" s="65"/>
      <c r="H136" s="66" t="str">
        <f t="shared" si="10"/>
        <v/>
      </c>
      <c r="I136" s="67" t="str">
        <f t="shared" ca="1" si="11"/>
        <v/>
      </c>
      <c r="J136" s="68" t="str">
        <f t="shared" si="12"/>
        <v/>
      </c>
      <c r="K136" s="69"/>
      <c r="L136" s="70"/>
    </row>
    <row r="137" spans="1:12" ht="15" customHeight="1">
      <c r="A137" s="63"/>
      <c r="B137" s="64"/>
      <c r="C137" s="64"/>
      <c r="D137" s="65"/>
      <c r="E137" s="86"/>
      <c r="F137" s="64"/>
      <c r="G137" s="65"/>
      <c r="H137" s="66" t="str">
        <f t="shared" si="10"/>
        <v/>
      </c>
      <c r="I137" s="67" t="str">
        <f t="shared" ca="1" si="11"/>
        <v/>
      </c>
      <c r="J137" s="68" t="str">
        <f t="shared" si="12"/>
        <v/>
      </c>
      <c r="K137" s="69"/>
      <c r="L137" s="70"/>
    </row>
    <row r="138" spans="1:12" ht="15" customHeight="1">
      <c r="A138" s="63"/>
      <c r="B138" s="64"/>
      <c r="C138" s="64"/>
      <c r="D138" s="65"/>
      <c r="E138" s="86"/>
      <c r="F138" s="64"/>
      <c r="G138" s="65"/>
      <c r="H138" s="66" t="str">
        <f t="shared" si="10"/>
        <v/>
      </c>
      <c r="I138" s="67" t="str">
        <f t="shared" ca="1" si="11"/>
        <v/>
      </c>
      <c r="J138" s="68" t="str">
        <f t="shared" si="12"/>
        <v/>
      </c>
      <c r="K138" s="69"/>
      <c r="L138" s="70"/>
    </row>
    <row r="139" spans="1:12" ht="15" customHeight="1">
      <c r="A139" s="63"/>
      <c r="B139" s="64"/>
      <c r="C139" s="64"/>
      <c r="D139" s="65"/>
      <c r="E139" s="86"/>
      <c r="F139" s="64"/>
      <c r="G139" s="65"/>
      <c r="H139" s="66" t="str">
        <f t="shared" si="10"/>
        <v/>
      </c>
      <c r="I139" s="67" t="str">
        <f t="shared" ca="1" si="11"/>
        <v/>
      </c>
      <c r="J139" s="68" t="str">
        <f t="shared" si="12"/>
        <v/>
      </c>
      <c r="K139" s="69"/>
      <c r="L139" s="70"/>
    </row>
    <row r="140" spans="1:12" ht="15" customHeight="1">
      <c r="A140" s="63"/>
      <c r="B140" s="64"/>
      <c r="C140" s="64"/>
      <c r="D140" s="65"/>
      <c r="E140" s="86"/>
      <c r="F140" s="64"/>
      <c r="G140" s="65"/>
      <c r="H140" s="66" t="str">
        <f t="shared" si="10"/>
        <v/>
      </c>
      <c r="I140" s="67" t="str">
        <f t="shared" ca="1" si="11"/>
        <v/>
      </c>
      <c r="J140" s="68" t="str">
        <f t="shared" si="12"/>
        <v/>
      </c>
      <c r="K140" s="69"/>
      <c r="L140" s="70"/>
    </row>
    <row r="141" spans="1:12" ht="15" customHeight="1">
      <c r="A141" s="63"/>
      <c r="B141" s="64"/>
      <c r="C141" s="64"/>
      <c r="D141" s="65"/>
      <c r="E141" s="86"/>
      <c r="F141" s="64"/>
      <c r="G141" s="65"/>
      <c r="H141" s="66" t="str">
        <f t="shared" si="10"/>
        <v/>
      </c>
      <c r="I141" s="67" t="str">
        <f t="shared" ca="1" si="11"/>
        <v/>
      </c>
      <c r="J141" s="68" t="str">
        <f t="shared" si="12"/>
        <v/>
      </c>
      <c r="K141" s="69"/>
      <c r="L141" s="70"/>
    </row>
    <row r="142" spans="1:12" ht="15" customHeight="1">
      <c r="A142" s="63"/>
      <c r="B142" s="64"/>
      <c r="C142" s="64"/>
      <c r="D142" s="65"/>
      <c r="E142" s="86"/>
      <c r="F142" s="64"/>
      <c r="G142" s="65"/>
      <c r="H142" s="66" t="str">
        <f t="shared" si="10"/>
        <v/>
      </c>
      <c r="I142" s="67" t="str">
        <f t="shared" ca="1" si="11"/>
        <v/>
      </c>
      <c r="J142" s="68" t="str">
        <f t="shared" si="12"/>
        <v/>
      </c>
      <c r="K142" s="69"/>
      <c r="L142" s="70"/>
    </row>
    <row r="143" spans="1:12" ht="15" customHeight="1">
      <c r="A143" s="63"/>
      <c r="B143" s="64"/>
      <c r="C143" s="64"/>
      <c r="D143" s="65"/>
      <c r="E143" s="86"/>
      <c r="F143" s="64"/>
      <c r="G143" s="65"/>
      <c r="H143" s="66" t="str">
        <f t="shared" si="10"/>
        <v/>
      </c>
      <c r="I143" s="67" t="str">
        <f t="shared" ca="1" si="11"/>
        <v/>
      </c>
      <c r="J143" s="68" t="str">
        <f t="shared" si="12"/>
        <v/>
      </c>
      <c r="K143" s="69"/>
      <c r="L143" s="70"/>
    </row>
    <row r="144" spans="1:12" ht="15" customHeight="1">
      <c r="A144" s="63"/>
      <c r="B144" s="64"/>
      <c r="C144" s="64"/>
      <c r="D144" s="65"/>
      <c r="E144" s="86"/>
      <c r="F144" s="64"/>
      <c r="G144" s="65"/>
      <c r="H144" s="66" t="str">
        <f t="shared" si="10"/>
        <v/>
      </c>
      <c r="I144" s="67" t="str">
        <f t="shared" ca="1" si="11"/>
        <v/>
      </c>
      <c r="J144" s="68" t="str">
        <f t="shared" si="12"/>
        <v/>
      </c>
      <c r="K144" s="69"/>
      <c r="L144" s="70"/>
    </row>
    <row r="145" spans="1:12" ht="15" customHeight="1">
      <c r="A145" s="63"/>
      <c r="B145" s="64"/>
      <c r="C145" s="64"/>
      <c r="D145" s="65"/>
      <c r="E145" s="86"/>
      <c r="F145" s="64"/>
      <c r="G145" s="65"/>
      <c r="H145" s="66" t="str">
        <f t="shared" si="10"/>
        <v/>
      </c>
      <c r="I145" s="67" t="str">
        <f t="shared" ca="1" si="11"/>
        <v/>
      </c>
      <c r="J145" s="68" t="str">
        <f t="shared" si="12"/>
        <v/>
      </c>
      <c r="K145" s="69"/>
      <c r="L145" s="70"/>
    </row>
    <row r="146" spans="1:12" ht="15" customHeight="1">
      <c r="A146" s="63"/>
      <c r="B146" s="64"/>
      <c r="C146" s="64"/>
      <c r="D146" s="65"/>
      <c r="E146" s="86"/>
      <c r="F146" s="64"/>
      <c r="G146" s="65"/>
      <c r="H146" s="66" t="str">
        <f t="shared" si="10"/>
        <v/>
      </c>
      <c r="I146" s="67" t="str">
        <f t="shared" ca="1" si="11"/>
        <v/>
      </c>
      <c r="J146" s="68" t="str">
        <f t="shared" si="12"/>
        <v/>
      </c>
      <c r="K146" s="69"/>
      <c r="L146" s="70"/>
    </row>
    <row r="147" spans="1:12" ht="15" customHeight="1">
      <c r="A147" s="63"/>
      <c r="B147" s="64"/>
      <c r="C147" s="64"/>
      <c r="D147" s="65"/>
      <c r="E147" s="86"/>
      <c r="F147" s="64"/>
      <c r="G147" s="65"/>
      <c r="H147" s="66" t="str">
        <f t="shared" si="10"/>
        <v/>
      </c>
      <c r="I147" s="67" t="str">
        <f t="shared" ca="1" si="11"/>
        <v/>
      </c>
      <c r="J147" s="68" t="str">
        <f t="shared" si="12"/>
        <v/>
      </c>
      <c r="K147" s="69"/>
      <c r="L147" s="70"/>
    </row>
    <row r="148" spans="1:12" ht="15" customHeight="1">
      <c r="A148" s="63"/>
      <c r="B148" s="64"/>
      <c r="C148" s="64"/>
      <c r="D148" s="65"/>
      <c r="E148" s="86"/>
      <c r="F148" s="64"/>
      <c r="G148" s="65"/>
      <c r="H148" s="66" t="str">
        <f t="shared" si="10"/>
        <v/>
      </c>
      <c r="I148" s="67" t="str">
        <f t="shared" ca="1" si="11"/>
        <v/>
      </c>
      <c r="J148" s="68" t="str">
        <f t="shared" si="12"/>
        <v/>
      </c>
      <c r="K148" s="69"/>
      <c r="L148" s="70"/>
    </row>
    <row r="149" spans="1:12" ht="15" customHeight="1">
      <c r="A149" s="63"/>
      <c r="B149" s="64"/>
      <c r="C149" s="64"/>
      <c r="D149" s="65"/>
      <c r="E149" s="86"/>
      <c r="F149" s="64"/>
      <c r="G149" s="65"/>
      <c r="H149" s="66" t="str">
        <f t="shared" si="10"/>
        <v/>
      </c>
      <c r="I149" s="67" t="str">
        <f t="shared" ca="1" si="11"/>
        <v/>
      </c>
      <c r="J149" s="68" t="str">
        <f t="shared" si="12"/>
        <v/>
      </c>
      <c r="K149" s="69"/>
      <c r="L149" s="70"/>
    </row>
    <row r="150" spans="1:12" ht="15" customHeight="1">
      <c r="A150" s="63"/>
      <c r="B150" s="64"/>
      <c r="C150" s="64"/>
      <c r="D150" s="65"/>
      <c r="E150" s="86"/>
      <c r="F150" s="64"/>
      <c r="G150" s="65"/>
      <c r="H150" s="66" t="str">
        <f t="shared" si="10"/>
        <v/>
      </c>
      <c r="I150" s="67" t="str">
        <f t="shared" ca="1" si="11"/>
        <v/>
      </c>
      <c r="J150" s="68" t="str">
        <f t="shared" si="12"/>
        <v/>
      </c>
      <c r="K150" s="69"/>
      <c r="L150" s="70"/>
    </row>
    <row r="151" spans="1:12" ht="15" customHeight="1">
      <c r="A151" s="63"/>
      <c r="B151" s="64"/>
      <c r="C151" s="64"/>
      <c r="D151" s="65"/>
      <c r="E151" s="86"/>
      <c r="F151" s="64"/>
      <c r="G151" s="65"/>
      <c r="H151" s="66" t="str">
        <f t="shared" si="10"/>
        <v/>
      </c>
      <c r="I151" s="67" t="str">
        <f t="shared" ca="1" si="11"/>
        <v/>
      </c>
      <c r="J151" s="68" t="str">
        <f t="shared" si="12"/>
        <v/>
      </c>
      <c r="K151" s="69"/>
      <c r="L151" s="70"/>
    </row>
    <row r="152" spans="1:12" ht="15" customHeight="1">
      <c r="A152" s="63"/>
      <c r="B152" s="64"/>
      <c r="C152" s="64"/>
      <c r="D152" s="65"/>
      <c r="E152" s="86"/>
      <c r="F152" s="64"/>
      <c r="G152" s="65"/>
      <c r="H152" s="66" t="str">
        <f t="shared" si="10"/>
        <v/>
      </c>
      <c r="I152" s="67" t="str">
        <f t="shared" ca="1" si="11"/>
        <v/>
      </c>
      <c r="J152" s="68" t="str">
        <f t="shared" si="12"/>
        <v/>
      </c>
      <c r="K152" s="69"/>
      <c r="L152" s="70"/>
    </row>
    <row r="153" spans="1:12" ht="15" customHeight="1">
      <c r="A153" s="63"/>
      <c r="B153" s="64"/>
      <c r="C153" s="64"/>
      <c r="D153" s="65"/>
      <c r="E153" s="86"/>
      <c r="F153" s="64"/>
      <c r="G153" s="65"/>
      <c r="H153" s="66" t="str">
        <f t="shared" si="10"/>
        <v/>
      </c>
      <c r="I153" s="67" t="str">
        <f t="shared" ca="1" si="11"/>
        <v/>
      </c>
      <c r="J153" s="68" t="str">
        <f t="shared" si="12"/>
        <v/>
      </c>
      <c r="K153" s="69"/>
      <c r="L153" s="70"/>
    </row>
    <row r="154" spans="1:12" ht="15" customHeight="1">
      <c r="A154" s="63"/>
      <c r="B154" s="64"/>
      <c r="C154" s="64"/>
      <c r="D154" s="65"/>
      <c r="E154" s="86"/>
      <c r="F154" s="64"/>
      <c r="G154" s="65"/>
      <c r="H154" s="66" t="str">
        <f t="shared" si="10"/>
        <v/>
      </c>
      <c r="I154" s="67" t="str">
        <f t="shared" ca="1" si="11"/>
        <v/>
      </c>
      <c r="J154" s="68" t="str">
        <f t="shared" si="12"/>
        <v/>
      </c>
      <c r="K154" s="69"/>
      <c r="L154" s="70"/>
    </row>
    <row r="155" spans="1:12" ht="15" customHeight="1">
      <c r="A155" s="63"/>
      <c r="B155" s="64"/>
      <c r="C155" s="64"/>
      <c r="D155" s="65"/>
      <c r="E155" s="86"/>
      <c r="F155" s="64"/>
      <c r="G155" s="65"/>
      <c r="H155" s="66" t="str">
        <f t="shared" si="10"/>
        <v/>
      </c>
      <c r="I155" s="67" t="str">
        <f t="shared" ca="1" si="11"/>
        <v/>
      </c>
      <c r="J155" s="68" t="str">
        <f t="shared" si="12"/>
        <v/>
      </c>
      <c r="K155" s="69"/>
      <c r="L155" s="70"/>
    </row>
    <row r="156" spans="1:12" ht="15" customHeight="1">
      <c r="A156" s="63"/>
      <c r="B156" s="64"/>
      <c r="C156" s="64"/>
      <c r="D156" s="65"/>
      <c r="E156" s="86"/>
      <c r="F156" s="64"/>
      <c r="G156" s="65"/>
      <c r="H156" s="66" t="str">
        <f t="shared" si="10"/>
        <v/>
      </c>
      <c r="I156" s="67" t="str">
        <f t="shared" ca="1" si="11"/>
        <v/>
      </c>
      <c r="J156" s="68" t="str">
        <f t="shared" si="12"/>
        <v/>
      </c>
      <c r="K156" s="69"/>
      <c r="L156" s="70"/>
    </row>
    <row r="157" spans="1:12" ht="15" customHeight="1">
      <c r="A157" s="63"/>
      <c r="B157" s="64"/>
      <c r="C157" s="64"/>
      <c r="D157" s="65"/>
      <c r="E157" s="86"/>
      <c r="F157" s="64"/>
      <c r="G157" s="65"/>
      <c r="H157" s="66" t="str">
        <f t="shared" si="10"/>
        <v/>
      </c>
      <c r="I157" s="67" t="str">
        <f t="shared" ca="1" si="11"/>
        <v/>
      </c>
      <c r="J157" s="68" t="str">
        <f t="shared" si="12"/>
        <v/>
      </c>
      <c r="K157" s="69"/>
      <c r="L157" s="70"/>
    </row>
    <row r="158" spans="1:12" ht="15" customHeight="1">
      <c r="A158" s="63"/>
      <c r="B158" s="64"/>
      <c r="C158" s="64"/>
      <c r="D158" s="65"/>
      <c r="E158" s="86"/>
      <c r="F158" s="64"/>
      <c r="G158" s="65"/>
      <c r="H158" s="66" t="str">
        <f t="shared" si="10"/>
        <v/>
      </c>
      <c r="I158" s="67" t="str">
        <f t="shared" ca="1" si="11"/>
        <v/>
      </c>
      <c r="J158" s="68" t="str">
        <f t="shared" si="12"/>
        <v/>
      </c>
      <c r="K158" s="74"/>
      <c r="L158" s="70"/>
    </row>
    <row r="159" spans="1:12" ht="15" customHeight="1">
      <c r="A159" s="63"/>
      <c r="B159" s="64"/>
      <c r="C159" s="64"/>
      <c r="D159" s="65"/>
      <c r="E159" s="86"/>
      <c r="F159" s="64"/>
      <c r="G159" s="65"/>
      <c r="H159" s="66" t="str">
        <f t="shared" si="10"/>
        <v/>
      </c>
      <c r="I159" s="67" t="str">
        <f t="shared" ca="1" si="11"/>
        <v/>
      </c>
      <c r="J159" s="68" t="str">
        <f t="shared" si="12"/>
        <v/>
      </c>
      <c r="K159" s="74"/>
      <c r="L159" s="70"/>
    </row>
    <row r="160" spans="1:12" ht="15" customHeight="1">
      <c r="A160" s="63"/>
      <c r="B160" s="64"/>
      <c r="C160" s="64"/>
      <c r="D160" s="65"/>
      <c r="E160" s="86"/>
      <c r="F160" s="64"/>
      <c r="G160" s="65"/>
      <c r="H160" s="66" t="str">
        <f t="shared" si="10"/>
        <v/>
      </c>
      <c r="I160" s="67" t="str">
        <f t="shared" ca="1" si="11"/>
        <v/>
      </c>
      <c r="J160" s="68" t="str">
        <f t="shared" si="12"/>
        <v/>
      </c>
      <c r="K160" s="69"/>
      <c r="L160" s="70"/>
    </row>
    <row r="161" spans="1:12" ht="15" customHeight="1">
      <c r="A161" s="63"/>
      <c r="B161" s="64"/>
      <c r="C161" s="64"/>
      <c r="D161" s="65"/>
      <c r="E161" s="86"/>
      <c r="F161" s="64"/>
      <c r="G161" s="65"/>
      <c r="H161" s="66" t="str">
        <f t="shared" ref="H161:H191" si="13">IF(D161="","",IF(L161="","Open","Closed"))</f>
        <v/>
      </c>
      <c r="I161" s="67" t="str">
        <f t="shared" ref="I161:I191" ca="1" si="14">IF(B161="","",IF(H161="Closed",(L161-G161),IF(ROUND((NOW()-G161),0)&lt;0,0,ROUND((NOW()-G161),0))))</f>
        <v/>
      </c>
      <c r="J161" s="68" t="str">
        <f t="shared" si="12"/>
        <v/>
      </c>
      <c r="K161" s="69"/>
      <c r="L161" s="70"/>
    </row>
    <row r="162" spans="1:12" ht="15" customHeight="1">
      <c r="A162" s="63"/>
      <c r="B162" s="64"/>
      <c r="C162" s="64"/>
      <c r="D162" s="65"/>
      <c r="E162" s="86"/>
      <c r="F162" s="64"/>
      <c r="G162" s="65"/>
      <c r="H162" s="66" t="str">
        <f t="shared" si="13"/>
        <v/>
      </c>
      <c r="I162" s="67" t="str">
        <f t="shared" ca="1" si="14"/>
        <v/>
      </c>
      <c r="J162" s="68" t="str">
        <f t="shared" si="12"/>
        <v/>
      </c>
      <c r="K162" s="69"/>
      <c r="L162" s="70"/>
    </row>
    <row r="163" spans="1:12" ht="15" customHeight="1">
      <c r="A163" s="63"/>
      <c r="B163" s="64"/>
      <c r="C163" s="64"/>
      <c r="D163" s="65"/>
      <c r="E163" s="86"/>
      <c r="F163" s="64"/>
      <c r="G163" s="65"/>
      <c r="H163" s="66" t="str">
        <f t="shared" si="13"/>
        <v/>
      </c>
      <c r="I163" s="67" t="str">
        <f t="shared" ca="1" si="14"/>
        <v/>
      </c>
      <c r="J163" s="68" t="str">
        <f t="shared" si="12"/>
        <v/>
      </c>
      <c r="K163" s="69"/>
      <c r="L163" s="70"/>
    </row>
    <row r="164" spans="1:12" ht="15" customHeight="1">
      <c r="A164" s="63"/>
      <c r="B164" s="64"/>
      <c r="C164" s="64"/>
      <c r="D164" s="65"/>
      <c r="E164" s="86"/>
      <c r="F164" s="64"/>
      <c r="G164" s="65"/>
      <c r="H164" s="66" t="str">
        <f t="shared" si="13"/>
        <v/>
      </c>
      <c r="I164" s="67" t="str">
        <f t="shared" ca="1" si="14"/>
        <v/>
      </c>
      <c r="J164" s="68" t="str">
        <f t="shared" si="12"/>
        <v/>
      </c>
      <c r="K164" s="69"/>
      <c r="L164" s="70"/>
    </row>
    <row r="165" spans="1:12" ht="15" customHeight="1">
      <c r="A165" s="63"/>
      <c r="B165" s="64"/>
      <c r="C165" s="64"/>
      <c r="D165" s="65"/>
      <c r="E165" s="86"/>
      <c r="F165" s="64"/>
      <c r="G165" s="65"/>
      <c r="H165" s="66" t="str">
        <f t="shared" si="13"/>
        <v/>
      </c>
      <c r="I165" s="67" t="str">
        <f t="shared" ca="1" si="14"/>
        <v/>
      </c>
      <c r="J165" s="68" t="str">
        <f t="shared" si="12"/>
        <v/>
      </c>
      <c r="K165" s="69"/>
      <c r="L165" s="70"/>
    </row>
    <row r="166" spans="1:12" ht="15" customHeight="1">
      <c r="A166" s="63"/>
      <c r="B166" s="64"/>
      <c r="C166" s="64"/>
      <c r="D166" s="65"/>
      <c r="E166" s="86"/>
      <c r="F166" s="64"/>
      <c r="G166" s="65"/>
      <c r="H166" s="66" t="str">
        <f t="shared" si="13"/>
        <v/>
      </c>
      <c r="I166" s="67" t="str">
        <f t="shared" ca="1" si="14"/>
        <v/>
      </c>
      <c r="J166" s="68" t="str">
        <f t="shared" si="12"/>
        <v/>
      </c>
      <c r="K166" s="69"/>
      <c r="L166" s="70"/>
    </row>
    <row r="167" spans="1:12" ht="15" customHeight="1">
      <c r="A167" s="63"/>
      <c r="B167" s="64"/>
      <c r="C167" s="64"/>
      <c r="D167" s="65"/>
      <c r="E167" s="86"/>
      <c r="F167" s="64"/>
      <c r="G167" s="65"/>
      <c r="H167" s="66" t="str">
        <f t="shared" si="13"/>
        <v/>
      </c>
      <c r="I167" s="67" t="str">
        <f t="shared" ca="1" si="14"/>
        <v/>
      </c>
      <c r="J167" s="68" t="str">
        <f t="shared" si="12"/>
        <v/>
      </c>
      <c r="K167" s="69"/>
      <c r="L167" s="70"/>
    </row>
    <row r="168" spans="1:12" ht="15" customHeight="1">
      <c r="A168" s="63"/>
      <c r="B168" s="64"/>
      <c r="C168" s="64"/>
      <c r="D168" s="65"/>
      <c r="E168" s="86"/>
      <c r="F168" s="64"/>
      <c r="G168" s="65"/>
      <c r="H168" s="66" t="str">
        <f t="shared" si="13"/>
        <v/>
      </c>
      <c r="I168" s="67" t="str">
        <f t="shared" ca="1" si="14"/>
        <v/>
      </c>
      <c r="J168" s="68" t="str">
        <f t="shared" si="12"/>
        <v/>
      </c>
      <c r="K168" s="69"/>
      <c r="L168" s="70"/>
    </row>
    <row r="169" spans="1:12" ht="15" customHeight="1">
      <c r="A169" s="63"/>
      <c r="B169" s="64"/>
      <c r="C169" s="64"/>
      <c r="D169" s="65"/>
      <c r="E169" s="86"/>
      <c r="F169" s="64"/>
      <c r="G169" s="65"/>
      <c r="H169" s="66" t="str">
        <f t="shared" si="13"/>
        <v/>
      </c>
      <c r="I169" s="67" t="str">
        <f t="shared" ca="1" si="14"/>
        <v/>
      </c>
      <c r="J169" s="68" t="str">
        <f t="shared" si="12"/>
        <v/>
      </c>
      <c r="K169" s="69"/>
      <c r="L169" s="70"/>
    </row>
    <row r="170" spans="1:12" ht="15" customHeight="1">
      <c r="A170" s="63"/>
      <c r="B170" s="64"/>
      <c r="C170" s="64"/>
      <c r="D170" s="65"/>
      <c r="E170" s="86"/>
      <c r="F170" s="64"/>
      <c r="G170" s="65"/>
      <c r="H170" s="66" t="str">
        <f t="shared" si="13"/>
        <v/>
      </c>
      <c r="I170" s="67" t="str">
        <f t="shared" ca="1" si="14"/>
        <v/>
      </c>
      <c r="J170" s="68" t="str">
        <f t="shared" si="12"/>
        <v/>
      </c>
      <c r="K170" s="69"/>
      <c r="L170" s="70"/>
    </row>
    <row r="171" spans="1:12" ht="15" customHeight="1">
      <c r="A171" s="63"/>
      <c r="B171" s="64"/>
      <c r="C171" s="64"/>
      <c r="D171" s="65"/>
      <c r="E171" s="86"/>
      <c r="F171" s="64"/>
      <c r="G171" s="65"/>
      <c r="H171" s="66" t="str">
        <f t="shared" si="13"/>
        <v/>
      </c>
      <c r="I171" s="67" t="str">
        <f t="shared" ca="1" si="14"/>
        <v/>
      </c>
      <c r="J171" s="68" t="str">
        <f t="shared" si="12"/>
        <v/>
      </c>
      <c r="K171" s="69"/>
      <c r="L171" s="70"/>
    </row>
    <row r="172" spans="1:12" ht="15" customHeight="1">
      <c r="A172" s="63"/>
      <c r="B172" s="64"/>
      <c r="C172" s="64"/>
      <c r="D172" s="65"/>
      <c r="E172" s="86"/>
      <c r="F172" s="64"/>
      <c r="G172" s="65"/>
      <c r="H172" s="66" t="str">
        <f t="shared" si="13"/>
        <v/>
      </c>
      <c r="I172" s="67" t="str">
        <f t="shared" ca="1" si="14"/>
        <v/>
      </c>
      <c r="J172" s="68" t="str">
        <f t="shared" si="12"/>
        <v/>
      </c>
      <c r="K172" s="69"/>
      <c r="L172" s="70"/>
    </row>
    <row r="173" spans="1:12" ht="15" customHeight="1">
      <c r="A173" s="63"/>
      <c r="B173" s="64"/>
      <c r="C173" s="64"/>
      <c r="D173" s="65"/>
      <c r="E173" s="86"/>
      <c r="F173" s="64"/>
      <c r="G173" s="65"/>
      <c r="H173" s="66" t="str">
        <f t="shared" si="13"/>
        <v/>
      </c>
      <c r="I173" s="67" t="str">
        <f t="shared" ca="1" si="14"/>
        <v/>
      </c>
      <c r="J173" s="68" t="str">
        <f t="shared" si="12"/>
        <v/>
      </c>
      <c r="K173" s="69"/>
      <c r="L173" s="70"/>
    </row>
    <row r="174" spans="1:12" ht="15" customHeight="1">
      <c r="A174" s="63"/>
      <c r="B174" s="64"/>
      <c r="C174" s="64"/>
      <c r="D174" s="65"/>
      <c r="E174" s="86"/>
      <c r="F174" s="64"/>
      <c r="G174" s="65"/>
      <c r="H174" s="66" t="str">
        <f t="shared" si="13"/>
        <v/>
      </c>
      <c r="I174" s="67" t="str">
        <f t="shared" ca="1" si="14"/>
        <v/>
      </c>
      <c r="J174" s="68" t="str">
        <f t="shared" si="12"/>
        <v/>
      </c>
      <c r="K174" s="69"/>
      <c r="L174" s="70"/>
    </row>
    <row r="175" spans="1:12" ht="15" customHeight="1">
      <c r="A175" s="63"/>
      <c r="B175" s="64"/>
      <c r="C175" s="64"/>
      <c r="D175" s="65"/>
      <c r="E175" s="86"/>
      <c r="F175" s="64"/>
      <c r="G175" s="65"/>
      <c r="H175" s="66" t="str">
        <f t="shared" si="13"/>
        <v/>
      </c>
      <c r="I175" s="67" t="str">
        <f t="shared" ca="1" si="14"/>
        <v/>
      </c>
      <c r="J175" s="68" t="str">
        <f t="shared" si="12"/>
        <v/>
      </c>
      <c r="K175" s="69"/>
      <c r="L175" s="70"/>
    </row>
    <row r="176" spans="1:12" ht="15" customHeight="1">
      <c r="A176" s="63"/>
      <c r="B176" s="64"/>
      <c r="C176" s="64"/>
      <c r="D176" s="65"/>
      <c r="E176" s="86"/>
      <c r="F176" s="64"/>
      <c r="G176" s="65"/>
      <c r="H176" s="66" t="str">
        <f t="shared" si="13"/>
        <v/>
      </c>
      <c r="I176" s="67" t="str">
        <f t="shared" ca="1" si="14"/>
        <v/>
      </c>
      <c r="J176" s="68" t="str">
        <f t="shared" si="12"/>
        <v/>
      </c>
      <c r="K176" s="69"/>
      <c r="L176" s="70"/>
    </row>
    <row r="177" spans="1:12" ht="15" customHeight="1">
      <c r="A177" s="63"/>
      <c r="B177" s="64"/>
      <c r="C177" s="64"/>
      <c r="D177" s="65"/>
      <c r="E177" s="86"/>
      <c r="F177" s="64"/>
      <c r="G177" s="65"/>
      <c r="H177" s="66" t="str">
        <f t="shared" si="13"/>
        <v/>
      </c>
      <c r="I177" s="67" t="str">
        <f t="shared" ca="1" si="14"/>
        <v/>
      </c>
      <c r="J177" s="68" t="str">
        <f t="shared" si="12"/>
        <v/>
      </c>
      <c r="K177" s="69"/>
      <c r="L177" s="70"/>
    </row>
    <row r="178" spans="1:12" ht="15" customHeight="1">
      <c r="A178" s="63"/>
      <c r="B178" s="64"/>
      <c r="C178" s="64"/>
      <c r="D178" s="65"/>
      <c r="E178" s="86"/>
      <c r="F178" s="64"/>
      <c r="G178" s="65"/>
      <c r="H178" s="66" t="str">
        <f t="shared" si="13"/>
        <v/>
      </c>
      <c r="I178" s="67" t="str">
        <f t="shared" ca="1" si="14"/>
        <v/>
      </c>
      <c r="J178" s="68" t="str">
        <f t="shared" si="12"/>
        <v/>
      </c>
      <c r="K178" s="69"/>
      <c r="L178" s="70"/>
    </row>
    <row r="179" spans="1:12" ht="15" customHeight="1">
      <c r="A179" s="63"/>
      <c r="B179" s="64"/>
      <c r="C179" s="64"/>
      <c r="D179" s="65"/>
      <c r="E179" s="86"/>
      <c r="F179" s="64"/>
      <c r="G179" s="65"/>
      <c r="H179" s="66" t="str">
        <f t="shared" si="13"/>
        <v/>
      </c>
      <c r="I179" s="67" t="str">
        <f t="shared" ca="1" si="14"/>
        <v/>
      </c>
      <c r="J179" s="68" t="str">
        <f t="shared" si="12"/>
        <v/>
      </c>
      <c r="K179" s="69"/>
      <c r="L179" s="70"/>
    </row>
    <row r="180" spans="1:12" ht="15" customHeight="1">
      <c r="A180" s="63"/>
      <c r="B180" s="64"/>
      <c r="C180" s="64"/>
      <c r="D180" s="65"/>
      <c r="E180" s="86"/>
      <c r="F180" s="64"/>
      <c r="G180" s="65"/>
      <c r="H180" s="66" t="str">
        <f t="shared" si="13"/>
        <v/>
      </c>
      <c r="I180" s="67" t="str">
        <f t="shared" ca="1" si="14"/>
        <v/>
      </c>
      <c r="J180" s="68" t="str">
        <f t="shared" si="12"/>
        <v/>
      </c>
      <c r="K180" s="69"/>
      <c r="L180" s="70"/>
    </row>
    <row r="181" spans="1:12" ht="15" customHeight="1">
      <c r="A181" s="63"/>
      <c r="B181" s="64"/>
      <c r="C181" s="64"/>
      <c r="D181" s="65"/>
      <c r="E181" s="86"/>
      <c r="F181" s="64"/>
      <c r="G181" s="65"/>
      <c r="H181" s="66" t="str">
        <f t="shared" si="13"/>
        <v/>
      </c>
      <c r="I181" s="67" t="str">
        <f t="shared" ca="1" si="14"/>
        <v/>
      </c>
      <c r="J181" s="68" t="str">
        <f t="shared" si="12"/>
        <v/>
      </c>
      <c r="K181" s="69"/>
      <c r="L181" s="70"/>
    </row>
    <row r="182" spans="1:12" ht="15" customHeight="1">
      <c r="A182" s="63"/>
      <c r="B182" s="64"/>
      <c r="C182" s="64"/>
      <c r="D182" s="65"/>
      <c r="E182" s="86"/>
      <c r="F182" s="64"/>
      <c r="G182" s="65"/>
      <c r="H182" s="66" t="str">
        <f t="shared" si="13"/>
        <v/>
      </c>
      <c r="I182" s="67" t="str">
        <f t="shared" ca="1" si="14"/>
        <v/>
      </c>
      <c r="J182" s="68" t="str">
        <f t="shared" si="12"/>
        <v/>
      </c>
      <c r="K182" s="69"/>
      <c r="L182" s="70"/>
    </row>
    <row r="183" spans="1:12" ht="15" customHeight="1">
      <c r="A183" s="63"/>
      <c r="B183" s="64"/>
      <c r="C183" s="64"/>
      <c r="D183" s="65"/>
      <c r="E183" s="86"/>
      <c r="F183" s="64"/>
      <c r="G183" s="65"/>
      <c r="H183" s="66" t="str">
        <f t="shared" si="13"/>
        <v/>
      </c>
      <c r="I183" s="67" t="str">
        <f t="shared" ca="1" si="14"/>
        <v/>
      </c>
      <c r="J183" s="68" t="str">
        <f t="shared" si="12"/>
        <v/>
      </c>
      <c r="K183" s="69"/>
      <c r="L183" s="70"/>
    </row>
    <row r="184" spans="1:12" ht="15" customHeight="1">
      <c r="A184" s="63"/>
      <c r="B184" s="64"/>
      <c r="C184" s="64"/>
      <c r="D184" s="65"/>
      <c r="E184" s="86"/>
      <c r="F184" s="64"/>
      <c r="G184" s="65"/>
      <c r="H184" s="66" t="str">
        <f t="shared" si="13"/>
        <v/>
      </c>
      <c r="I184" s="67" t="str">
        <f t="shared" ca="1" si="14"/>
        <v/>
      </c>
      <c r="J184" s="68" t="str">
        <f t="shared" si="12"/>
        <v/>
      </c>
      <c r="K184" s="69"/>
      <c r="L184" s="70"/>
    </row>
    <row r="185" spans="1:12" ht="15" customHeight="1">
      <c r="A185" s="63"/>
      <c r="B185" s="64"/>
      <c r="C185" s="64"/>
      <c r="D185" s="65"/>
      <c r="E185" s="86"/>
      <c r="F185" s="64"/>
      <c r="G185" s="65"/>
      <c r="H185" s="66" t="str">
        <f t="shared" si="13"/>
        <v/>
      </c>
      <c r="I185" s="67" t="str">
        <f t="shared" ca="1" si="14"/>
        <v/>
      </c>
      <c r="J185" s="68" t="str">
        <f t="shared" si="12"/>
        <v/>
      </c>
      <c r="K185" s="69"/>
      <c r="L185" s="70"/>
    </row>
    <row r="186" spans="1:12" ht="15" customHeight="1">
      <c r="A186" s="63"/>
      <c r="B186" s="64"/>
      <c r="C186" s="64"/>
      <c r="D186" s="65"/>
      <c r="E186" s="86"/>
      <c r="F186" s="64"/>
      <c r="G186" s="65"/>
      <c r="H186" s="66" t="str">
        <f t="shared" si="13"/>
        <v/>
      </c>
      <c r="I186" s="67" t="str">
        <f t="shared" ca="1" si="14"/>
        <v/>
      </c>
      <c r="J186" s="68" t="str">
        <f t="shared" si="12"/>
        <v/>
      </c>
      <c r="K186" s="69"/>
      <c r="L186" s="70"/>
    </row>
    <row r="187" spans="1:12" ht="15" customHeight="1">
      <c r="A187" s="63"/>
      <c r="B187" s="64"/>
      <c r="C187" s="64"/>
      <c r="D187" s="65"/>
      <c r="E187" s="86"/>
      <c r="F187" s="64"/>
      <c r="G187" s="65"/>
      <c r="H187" s="66" t="str">
        <f t="shared" si="13"/>
        <v/>
      </c>
      <c r="I187" s="67" t="str">
        <f t="shared" ca="1" si="14"/>
        <v/>
      </c>
      <c r="J187" s="68" t="str">
        <f t="shared" si="12"/>
        <v/>
      </c>
      <c r="K187" s="69"/>
      <c r="L187" s="70"/>
    </row>
    <row r="188" spans="1:12" ht="15" customHeight="1">
      <c r="A188" s="63"/>
      <c r="B188" s="64"/>
      <c r="C188" s="64"/>
      <c r="D188" s="65"/>
      <c r="E188" s="86"/>
      <c r="F188" s="64"/>
      <c r="G188" s="65"/>
      <c r="H188" s="66" t="str">
        <f t="shared" si="13"/>
        <v/>
      </c>
      <c r="I188" s="67" t="str">
        <f t="shared" ca="1" si="14"/>
        <v/>
      </c>
      <c r="J188" s="68" t="str">
        <f t="shared" si="12"/>
        <v/>
      </c>
      <c r="K188" s="69"/>
      <c r="L188" s="70"/>
    </row>
    <row r="189" spans="1:12" ht="15" customHeight="1">
      <c r="A189" s="63"/>
      <c r="B189" s="64"/>
      <c r="C189" s="64"/>
      <c r="D189" s="65"/>
      <c r="E189" s="86"/>
      <c r="F189" s="64"/>
      <c r="G189" s="65"/>
      <c r="H189" s="66" t="str">
        <f t="shared" si="13"/>
        <v/>
      </c>
      <c r="I189" s="67" t="str">
        <f t="shared" ca="1" si="14"/>
        <v/>
      </c>
      <c r="J189" s="68" t="str">
        <f t="shared" si="12"/>
        <v/>
      </c>
      <c r="K189" s="69"/>
      <c r="L189" s="70"/>
    </row>
    <row r="190" spans="1:12" ht="15" customHeight="1">
      <c r="A190" s="63"/>
      <c r="B190" s="64"/>
      <c r="C190" s="64"/>
      <c r="D190" s="65"/>
      <c r="E190" s="86"/>
      <c r="F190" s="64"/>
      <c r="G190" s="65"/>
      <c r="H190" s="66" t="str">
        <f t="shared" si="13"/>
        <v/>
      </c>
      <c r="I190" s="67" t="str">
        <f t="shared" ca="1" si="14"/>
        <v/>
      </c>
      <c r="J190" s="68" t="str">
        <f t="shared" si="12"/>
        <v/>
      </c>
      <c r="K190" s="69"/>
      <c r="L190" s="70"/>
    </row>
    <row r="191" spans="1:12" ht="15" customHeight="1">
      <c r="A191" s="75"/>
      <c r="B191" s="76"/>
      <c r="C191" s="76"/>
      <c r="D191" s="77"/>
      <c r="E191" s="87"/>
      <c r="F191" s="76"/>
      <c r="G191" s="77"/>
      <c r="H191" s="78" t="str">
        <f t="shared" si="13"/>
        <v/>
      </c>
      <c r="I191" s="79" t="str">
        <f t="shared" ca="1" si="14"/>
        <v/>
      </c>
      <c r="J191" s="68"/>
      <c r="K191" s="80"/>
      <c r="L191" s="81"/>
    </row>
    <row r="192" spans="1:12" ht="15" customHeight="1">
      <c r="J192" s="68"/>
    </row>
    <row r="193" spans="10:10" ht="15" customHeight="1">
      <c r="J193" s="68"/>
    </row>
    <row r="194" spans="10:10" ht="15" customHeight="1">
      <c r="J194" s="68"/>
    </row>
    <row r="195" spans="10:10" ht="15" customHeight="1">
      <c r="J195" s="68"/>
    </row>
    <row r="196" spans="10:10" ht="15" customHeight="1">
      <c r="J196" s="68"/>
    </row>
    <row r="197" spans="10:10" ht="15" customHeight="1">
      <c r="J197" s="68"/>
    </row>
    <row r="198" spans="10:10" ht="15" customHeight="1">
      <c r="J198" s="68"/>
    </row>
    <row r="199" spans="10:10" ht="15" customHeight="1">
      <c r="J199" s="68"/>
    </row>
    <row r="200" spans="10:10" ht="15" customHeight="1">
      <c r="J200" s="68"/>
    </row>
    <row r="201" spans="10:10" ht="15" customHeight="1">
      <c r="J201" s="68"/>
    </row>
    <row r="202" spans="10:10" ht="15" customHeight="1">
      <c r="J202" s="68"/>
    </row>
    <row r="203" spans="10:10" ht="15" customHeight="1">
      <c r="J203" s="68"/>
    </row>
    <row r="204" spans="10:10" ht="15" customHeight="1">
      <c r="J204" s="68"/>
    </row>
    <row r="205" spans="10:10" ht="15" customHeight="1">
      <c r="J205" s="68"/>
    </row>
    <row r="206" spans="10:10" ht="15" customHeight="1">
      <c r="J206" s="68"/>
    </row>
  </sheetData>
  <conditionalFormatting sqref="H2:H191">
    <cfRule type="cellIs" dxfId="5" priority="2" stopIfTrue="1" operator="equal">
      <formula>"Open"</formula>
    </cfRule>
    <cfRule type="cellIs" dxfId="4" priority="3" stopIfTrue="1" operator="equal">
      <formula>"Closed"</formula>
    </cfRule>
  </conditionalFormatting>
  <conditionalFormatting sqref="J2:J206">
    <cfRule type="expression" dxfId="3" priority="4" stopIfTrue="1">
      <formula>I2&lt;5</formula>
    </cfRule>
    <cfRule type="expression" dxfId="2" priority="5" stopIfTrue="1">
      <formula>I2&lt;=10</formula>
    </cfRule>
    <cfRule type="expression" dxfId="1" priority="6" stopIfTrue="1">
      <formula>I2&gt;10</formula>
    </cfRule>
  </conditionalFormatting>
  <conditionalFormatting sqref="J1:J1048576">
    <cfRule type="expression" dxfId="0" priority="1">
      <formula>ISBLANK($I1)</formula>
    </cfRule>
  </conditionalFormatting>
  <pageMargins left="0.7" right="0.7" top="0.75" bottom="0.75" header="0.3" footer="0.3"/>
  <pageSetup paperSize="3" orientation="landscape" r:id="rId1"/>
  <headerFoot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
  <sheetViews>
    <sheetView workbookViewId="0">
      <selection activeCell="B2" sqref="B2"/>
    </sheetView>
  </sheetViews>
  <sheetFormatPr defaultColWidth="8.85546875" defaultRowHeight="14.45"/>
  <cols>
    <col min="1" max="1" width="5.28515625" style="40" customWidth="1"/>
    <col min="2" max="2" width="16.140625" style="39" customWidth="1"/>
    <col min="3" max="3" width="8.85546875" style="39"/>
    <col min="4" max="4" width="8.7109375" style="41"/>
    <col min="5" max="5" width="14.7109375" style="39" customWidth="1"/>
    <col min="6" max="6" width="36.7109375" style="39" customWidth="1"/>
    <col min="7" max="7" width="13.7109375" style="41" customWidth="1"/>
    <col min="8" max="8" width="31.28515625" style="47" customWidth="1"/>
    <col min="9" max="16384" width="8.85546875" style="39"/>
  </cols>
  <sheetData>
    <row r="1" spans="1:8" ht="43.15">
      <c r="A1" s="37" t="s">
        <v>24</v>
      </c>
      <c r="B1" s="37" t="s">
        <v>25</v>
      </c>
      <c r="C1" s="37" t="s">
        <v>21</v>
      </c>
      <c r="D1" s="38" t="s">
        <v>17</v>
      </c>
      <c r="E1" s="37" t="s">
        <v>14</v>
      </c>
      <c r="F1" s="37" t="s">
        <v>26</v>
      </c>
      <c r="G1" s="38" t="s">
        <v>27</v>
      </c>
      <c r="H1" s="46" t="s">
        <v>28</v>
      </c>
    </row>
    <row r="2" spans="1:8" ht="42" customHeight="1">
      <c r="A2" s="40">
        <v>1</v>
      </c>
    </row>
    <row r="3" spans="1:8">
      <c r="A3" s="40">
        <v>2</v>
      </c>
    </row>
    <row r="4" spans="1:8">
      <c r="A4" s="40">
        <v>3</v>
      </c>
    </row>
    <row r="5" spans="1:8">
      <c r="A5" s="40">
        <v>4</v>
      </c>
    </row>
    <row r="6" spans="1:8">
      <c r="A6" s="40">
        <v>5</v>
      </c>
    </row>
    <row r="7" spans="1:8">
      <c r="A7" s="40">
        <v>6</v>
      </c>
    </row>
    <row r="8" spans="1:8">
      <c r="A8" s="40">
        <v>7</v>
      </c>
    </row>
    <row r="9" spans="1:8">
      <c r="A9" s="40">
        <v>8</v>
      </c>
    </row>
    <row r="10" spans="1:8">
      <c r="A10" s="40">
        <v>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3A668-4949-44B3-A8F5-C7E4BE2C319A}">
  <dimension ref="A1:H10"/>
  <sheetViews>
    <sheetView workbookViewId="0">
      <selection activeCell="B1" sqref="B1"/>
    </sheetView>
  </sheetViews>
  <sheetFormatPr defaultColWidth="8.85546875" defaultRowHeight="14.45"/>
  <cols>
    <col min="1" max="1" width="5.28515625" style="40" customWidth="1"/>
    <col min="2" max="2" width="16.140625" style="39" customWidth="1"/>
    <col min="3" max="3" width="8.85546875" style="39"/>
    <col min="4" max="4" width="8.85546875" style="41"/>
    <col min="5" max="5" width="14.7109375" style="39" customWidth="1"/>
    <col min="6" max="6" width="36.7109375" style="39" customWidth="1"/>
    <col min="7" max="7" width="13.7109375" style="41" customWidth="1"/>
    <col min="8" max="8" width="31.28515625" style="47" customWidth="1"/>
    <col min="9" max="16384" width="8.85546875" style="39"/>
  </cols>
  <sheetData>
    <row r="1" spans="1:8" ht="43.15">
      <c r="A1" s="37" t="s">
        <v>24</v>
      </c>
      <c r="B1" s="37" t="s">
        <v>25</v>
      </c>
      <c r="C1" s="37" t="s">
        <v>21</v>
      </c>
      <c r="D1" s="38" t="s">
        <v>17</v>
      </c>
      <c r="E1" s="37" t="s">
        <v>14</v>
      </c>
      <c r="F1" s="37" t="s">
        <v>26</v>
      </c>
      <c r="G1" s="38" t="s">
        <v>27</v>
      </c>
      <c r="H1" s="46" t="s">
        <v>28</v>
      </c>
    </row>
    <row r="2" spans="1:8" ht="42" customHeight="1">
      <c r="A2" s="40">
        <v>1</v>
      </c>
    </row>
    <row r="3" spans="1:8">
      <c r="A3" s="40">
        <v>2</v>
      </c>
    </row>
    <row r="4" spans="1:8">
      <c r="A4" s="40">
        <v>3</v>
      </c>
    </row>
    <row r="5" spans="1:8">
      <c r="A5" s="40">
        <v>4</v>
      </c>
    </row>
    <row r="6" spans="1:8">
      <c r="A6" s="40">
        <v>5</v>
      </c>
    </row>
    <row r="7" spans="1:8">
      <c r="A7" s="40">
        <v>6</v>
      </c>
    </row>
    <row r="8" spans="1:8">
      <c r="A8" s="40">
        <v>7</v>
      </c>
    </row>
    <row r="9" spans="1:8">
      <c r="A9" s="40">
        <v>8</v>
      </c>
    </row>
    <row r="10" spans="1:8">
      <c r="A10" s="40">
        <v>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tint="-0.34998626667073579"/>
  </sheetPr>
  <dimension ref="A1:I1206"/>
  <sheetViews>
    <sheetView showGridLines="0" zoomScaleNormal="100" workbookViewId="0">
      <pane ySplit="1" topLeftCell="D13" activePane="bottomLeft" state="frozen"/>
      <selection pane="bottomLeft" activeCell="D13" sqref="D13"/>
    </sheetView>
  </sheetViews>
  <sheetFormatPr defaultColWidth="20.7109375" defaultRowHeight="13.15"/>
  <cols>
    <col min="1" max="1" width="23.42578125" style="3" customWidth="1"/>
    <col min="2" max="2" width="20.7109375" style="3" customWidth="1"/>
    <col min="3" max="3" width="20.7109375" style="3"/>
    <col min="4" max="4" width="27.28515625" style="3" customWidth="1"/>
    <col min="5" max="5" width="20.7109375" style="3"/>
    <col min="6" max="6" width="79" style="3" customWidth="1"/>
    <col min="7" max="16384" width="20.7109375" style="3"/>
  </cols>
  <sheetData>
    <row r="1" spans="1:9" ht="15" customHeight="1"/>
    <row r="2" spans="1:9" ht="15" customHeight="1">
      <c r="A2" s="6" t="s">
        <v>29</v>
      </c>
      <c r="B2"/>
      <c r="C2"/>
      <c r="D2"/>
      <c r="E2"/>
      <c r="F2"/>
    </row>
    <row r="3" spans="1:9" ht="15" customHeight="1">
      <c r="A3"/>
      <c r="B3"/>
      <c r="C3"/>
      <c r="D3"/>
      <c r="E3"/>
      <c r="F3"/>
    </row>
    <row r="4" spans="1:9" ht="15" customHeight="1">
      <c r="A4" s="4" t="s">
        <v>30</v>
      </c>
      <c r="B4"/>
      <c r="C4"/>
      <c r="D4"/>
      <c r="E4"/>
      <c r="F4"/>
    </row>
    <row r="5" spans="1:9" customFormat="1" ht="15" customHeight="1"/>
    <row r="6" spans="1:9" ht="25.15" customHeight="1">
      <c r="A6" s="7" t="s">
        <v>31</v>
      </c>
      <c r="B6" s="8" t="s">
        <v>32</v>
      </c>
      <c r="C6" s="9"/>
      <c r="D6" s="9"/>
      <c r="E6" s="10"/>
      <c r="F6" s="10"/>
      <c r="G6" s="11"/>
      <c r="H6" s="11"/>
      <c r="I6" s="11"/>
    </row>
    <row r="7" spans="1:9" ht="25.15" customHeight="1">
      <c r="A7" s="12" t="s">
        <v>15</v>
      </c>
      <c r="B7" s="13" t="s">
        <v>33</v>
      </c>
      <c r="C7" s="14"/>
      <c r="D7" s="14"/>
      <c r="E7" s="15"/>
      <c r="F7" s="15"/>
      <c r="G7" s="16"/>
      <c r="H7" s="16"/>
      <c r="I7" s="16"/>
    </row>
    <row r="8" spans="1:9" customFormat="1" ht="25.15" customHeight="1">
      <c r="A8" s="12" t="s">
        <v>16</v>
      </c>
      <c r="B8" s="13" t="s">
        <v>34</v>
      </c>
      <c r="C8" s="14"/>
      <c r="D8" s="14"/>
      <c r="E8" s="15"/>
      <c r="F8" s="15"/>
      <c r="G8" s="15"/>
      <c r="H8" s="15"/>
      <c r="I8" s="15"/>
    </row>
    <row r="9" spans="1:9" ht="25.15" customHeight="1">
      <c r="A9" s="12" t="s">
        <v>17</v>
      </c>
      <c r="B9" s="13" t="s">
        <v>35</v>
      </c>
      <c r="C9" s="14"/>
      <c r="D9" s="14"/>
      <c r="E9" s="15"/>
      <c r="F9" s="15"/>
      <c r="G9" s="16"/>
      <c r="H9" s="16"/>
      <c r="I9" s="16"/>
    </row>
    <row r="10" spans="1:9" ht="25.15" customHeight="1">
      <c r="A10" s="12" t="s">
        <v>11</v>
      </c>
      <c r="B10" s="13" t="s">
        <v>36</v>
      </c>
      <c r="C10" s="14"/>
      <c r="D10" s="14"/>
      <c r="E10" s="15"/>
      <c r="F10" s="15"/>
      <c r="G10" s="16"/>
      <c r="H10" s="16"/>
      <c r="I10" s="16"/>
    </row>
    <row r="11" spans="1:9" customFormat="1" ht="25.15" customHeight="1">
      <c r="A11" s="12" t="s">
        <v>20</v>
      </c>
      <c r="B11" s="13" t="s">
        <v>37</v>
      </c>
      <c r="C11" s="14"/>
      <c r="D11" s="14"/>
      <c r="E11" s="15"/>
      <c r="F11" s="15"/>
      <c r="G11" s="15"/>
      <c r="H11" s="15"/>
      <c r="I11" s="15"/>
    </row>
    <row r="12" spans="1:9" ht="25.15" customHeight="1">
      <c r="A12" s="12" t="s">
        <v>21</v>
      </c>
      <c r="B12" s="13" t="s">
        <v>38</v>
      </c>
      <c r="C12" s="14"/>
      <c r="D12" s="14"/>
      <c r="E12" s="15"/>
      <c r="F12" s="15"/>
      <c r="G12" s="16"/>
      <c r="H12" s="16"/>
      <c r="I12" s="16"/>
    </row>
    <row r="13" spans="1:9" ht="25.15" customHeight="1">
      <c r="A13" s="12" t="s">
        <v>19</v>
      </c>
      <c r="B13" s="13" t="s">
        <v>39</v>
      </c>
      <c r="C13" s="14"/>
      <c r="D13" s="14"/>
      <c r="E13" s="15"/>
      <c r="F13" s="15"/>
      <c r="G13" s="16"/>
      <c r="H13" s="16"/>
      <c r="I13" s="16"/>
    </row>
    <row r="14" spans="1:9" ht="25.15" customHeight="1">
      <c r="A14" s="12" t="s">
        <v>18</v>
      </c>
      <c r="B14" s="13" t="s">
        <v>40</v>
      </c>
      <c r="C14" s="14"/>
      <c r="D14" s="14"/>
      <c r="E14" s="15"/>
      <c r="F14" s="15"/>
      <c r="G14" s="16"/>
      <c r="H14" s="16"/>
      <c r="I14" s="16"/>
    </row>
    <row r="15" spans="1:9" ht="25.15" customHeight="1">
      <c r="A15" s="12" t="s">
        <v>23</v>
      </c>
      <c r="B15" s="13" t="s">
        <v>41</v>
      </c>
      <c r="C15" s="14"/>
      <c r="D15" s="14"/>
      <c r="E15" s="15"/>
      <c r="F15" s="15"/>
      <c r="G15" s="16"/>
      <c r="H15" s="16"/>
      <c r="I15" s="16"/>
    </row>
    <row r="16" spans="1:9" ht="25.15" customHeight="1">
      <c r="A16" s="17" t="s">
        <v>22</v>
      </c>
      <c r="B16" s="18" t="s">
        <v>42</v>
      </c>
      <c r="C16" s="105"/>
      <c r="D16" s="105"/>
      <c r="E16" s="19"/>
      <c r="F16" s="19"/>
      <c r="G16" s="20"/>
      <c r="H16" s="20"/>
      <c r="I16" s="20"/>
    </row>
    <row r="17" spans="1:9" ht="90" customHeight="1">
      <c r="A17" s="17" t="s">
        <v>43</v>
      </c>
      <c r="B17" s="118" t="s">
        <v>44</v>
      </c>
      <c r="C17" s="118"/>
      <c r="D17" s="118"/>
      <c r="E17" s="118"/>
      <c r="F17" s="118"/>
      <c r="G17" s="20"/>
      <c r="H17" s="20"/>
      <c r="I17" s="20"/>
    </row>
    <row r="18" spans="1:9" ht="15" customHeight="1">
      <c r="A18"/>
      <c r="B18"/>
      <c r="C18"/>
      <c r="D18"/>
      <c r="E18"/>
      <c r="F18"/>
    </row>
    <row r="19" spans="1:9" ht="15" customHeight="1">
      <c r="A19"/>
      <c r="B19"/>
      <c r="C19"/>
      <c r="D19"/>
      <c r="E19"/>
      <c r="F19"/>
    </row>
    <row r="20" spans="1:9" ht="15" customHeight="1"/>
    <row r="21" spans="1:9" ht="15" customHeight="1">
      <c r="A21"/>
      <c r="B21"/>
      <c r="C21"/>
      <c r="D21"/>
      <c r="E21"/>
      <c r="F21"/>
    </row>
    <row r="22" spans="1:9" ht="15" customHeight="1">
      <c r="A22"/>
      <c r="B22"/>
      <c r="C22"/>
      <c r="D22"/>
      <c r="E22"/>
      <c r="F22"/>
    </row>
    <row r="23" spans="1:9" ht="15" customHeight="1">
      <c r="A23"/>
      <c r="B23"/>
      <c r="C23"/>
      <c r="D23"/>
      <c r="E23"/>
      <c r="F23"/>
    </row>
    <row r="24" spans="1:9" ht="15" customHeight="1">
      <c r="A24"/>
      <c r="B24"/>
      <c r="C24"/>
      <c r="D24"/>
      <c r="E24"/>
      <c r="F24"/>
    </row>
    <row r="25" spans="1:9" ht="15" customHeight="1">
      <c r="A25"/>
      <c r="B25"/>
      <c r="C25"/>
      <c r="D25"/>
      <c r="E25"/>
      <c r="F25"/>
    </row>
    <row r="26" spans="1:9" ht="15" customHeight="1">
      <c r="A26"/>
      <c r="B26"/>
      <c r="C26"/>
      <c r="D26"/>
      <c r="E26"/>
      <c r="F26"/>
      <c r="G26" s="2"/>
    </row>
    <row r="27" spans="1:9" ht="15" customHeight="1">
      <c r="A27"/>
      <c r="B27"/>
      <c r="C27"/>
      <c r="D27"/>
      <c r="E27"/>
      <c r="F27"/>
    </row>
    <row r="28" spans="1:9" ht="15" customHeight="1">
      <c r="A28"/>
      <c r="B28"/>
      <c r="C28"/>
      <c r="D28"/>
      <c r="E28"/>
      <c r="F28"/>
    </row>
    <row r="29" spans="1:9" ht="15" customHeight="1">
      <c r="A29"/>
      <c r="B29"/>
      <c r="C29"/>
      <c r="D29"/>
      <c r="E29"/>
      <c r="F29"/>
    </row>
    <row r="30" spans="1:9" ht="15" customHeight="1">
      <c r="A30"/>
      <c r="B30"/>
      <c r="C30"/>
      <c r="D30"/>
      <c r="E30"/>
      <c r="F30"/>
    </row>
    <row r="31" spans="1:9" ht="15" customHeight="1">
      <c r="A31"/>
      <c r="B31"/>
      <c r="C31"/>
      <c r="D31"/>
      <c r="E31"/>
      <c r="F31"/>
    </row>
    <row r="32" spans="1:9" ht="15" customHeight="1">
      <c r="A32"/>
      <c r="B32"/>
      <c r="C32"/>
      <c r="D32"/>
      <c r="E32"/>
      <c r="F32"/>
    </row>
    <row r="33" spans="1:6" ht="15" customHeight="1">
      <c r="A33"/>
      <c r="B33"/>
      <c r="C33"/>
      <c r="D33"/>
      <c r="E33"/>
      <c r="F33"/>
    </row>
    <row r="34" spans="1:6" ht="15" customHeight="1">
      <c r="A34"/>
      <c r="B34"/>
      <c r="C34"/>
      <c r="D34"/>
      <c r="E34"/>
      <c r="F34"/>
    </row>
    <row r="35" spans="1:6" ht="15" customHeight="1">
      <c r="A35"/>
      <c r="B35"/>
      <c r="C35"/>
      <c r="D35"/>
      <c r="E35"/>
      <c r="F35"/>
    </row>
    <row r="36" spans="1:6" ht="15" customHeight="1">
      <c r="A36"/>
      <c r="B36"/>
      <c r="C36"/>
      <c r="D36"/>
      <c r="E36"/>
      <c r="F36"/>
    </row>
    <row r="37" spans="1:6" ht="15" customHeight="1">
      <c r="A37"/>
      <c r="B37"/>
      <c r="C37"/>
      <c r="D37"/>
      <c r="E37"/>
      <c r="F37"/>
    </row>
    <row r="38" spans="1:6" ht="15" customHeight="1">
      <c r="A38"/>
      <c r="B38"/>
      <c r="C38"/>
      <c r="D38"/>
      <c r="E38"/>
      <c r="F38"/>
    </row>
    <row r="39" spans="1:6" ht="15" customHeight="1">
      <c r="A39"/>
      <c r="B39"/>
      <c r="C39"/>
      <c r="D39"/>
      <c r="E39"/>
      <c r="F39"/>
    </row>
    <row r="40" spans="1:6" ht="15" customHeight="1">
      <c r="A40"/>
      <c r="B40"/>
      <c r="C40"/>
      <c r="D40"/>
      <c r="E40"/>
      <c r="F40"/>
    </row>
    <row r="41" spans="1:6" ht="15" customHeight="1">
      <c r="A41"/>
      <c r="B41"/>
      <c r="C41"/>
      <c r="D41"/>
      <c r="E41"/>
      <c r="F41"/>
    </row>
    <row r="42" spans="1:6" ht="15" customHeight="1">
      <c r="A42"/>
      <c r="B42"/>
      <c r="C42"/>
      <c r="D42"/>
      <c r="E42"/>
      <c r="F42"/>
    </row>
    <row r="43" spans="1:6" ht="15" customHeight="1">
      <c r="A43"/>
      <c r="B43"/>
      <c r="C43"/>
      <c r="D43"/>
      <c r="E43"/>
      <c r="F43"/>
    </row>
    <row r="44" spans="1:6" ht="15" customHeight="1">
      <c r="A44"/>
      <c r="B44"/>
      <c r="C44"/>
      <c r="D44"/>
      <c r="E44"/>
      <c r="F44"/>
    </row>
    <row r="45" spans="1:6" ht="15" customHeight="1">
      <c r="A45"/>
      <c r="B45"/>
      <c r="C45"/>
      <c r="D45"/>
      <c r="E45"/>
      <c r="F45"/>
    </row>
    <row r="46" spans="1:6" ht="15" customHeight="1">
      <c r="A46"/>
      <c r="B46"/>
      <c r="C46"/>
      <c r="D46"/>
      <c r="E46"/>
      <c r="F46"/>
    </row>
    <row r="47" spans="1:6" ht="15" customHeight="1">
      <c r="A47"/>
      <c r="B47"/>
      <c r="C47"/>
      <c r="D47"/>
      <c r="E47"/>
      <c r="F47"/>
    </row>
    <row r="48" spans="1:6" ht="15" customHeight="1">
      <c r="A48"/>
      <c r="B48"/>
      <c r="C48"/>
      <c r="D48"/>
      <c r="E48"/>
      <c r="F48"/>
    </row>
    <row r="49" spans="1:6" ht="15" customHeight="1">
      <c r="A49"/>
      <c r="B49"/>
      <c r="C49"/>
      <c r="D49"/>
      <c r="E49"/>
      <c r="F49"/>
    </row>
    <row r="50" spans="1:6" ht="15" customHeight="1">
      <c r="A50"/>
      <c r="B50"/>
      <c r="C50"/>
      <c r="D50"/>
      <c r="E50"/>
      <c r="F50"/>
    </row>
    <row r="51" spans="1:6" ht="15" customHeight="1">
      <c r="A51"/>
      <c r="B51"/>
      <c r="C51"/>
      <c r="D51"/>
      <c r="E51"/>
      <c r="F51"/>
    </row>
    <row r="52" spans="1:6" ht="15" customHeight="1">
      <c r="A52"/>
      <c r="B52"/>
      <c r="C52"/>
      <c r="D52"/>
      <c r="E52"/>
      <c r="F52"/>
    </row>
    <row r="53" spans="1:6" ht="15" customHeight="1">
      <c r="A53"/>
      <c r="B53"/>
      <c r="C53"/>
      <c r="D53"/>
      <c r="E53"/>
      <c r="F53"/>
    </row>
    <row r="54" spans="1:6" ht="15" customHeight="1"/>
    <row r="55" spans="1:6" ht="15" customHeight="1"/>
    <row r="56" spans="1:6" ht="15" customHeight="1"/>
    <row r="57" spans="1:6" ht="15" customHeight="1"/>
    <row r="58" spans="1:6" ht="15" customHeight="1"/>
    <row r="59" spans="1:6" ht="15" customHeight="1"/>
    <row r="60" spans="1:6" ht="15" customHeight="1"/>
    <row r="61" spans="1:6" ht="15" customHeight="1"/>
    <row r="62" spans="1:6" ht="15" customHeight="1"/>
    <row r="63" spans="1:6" ht="15" customHeight="1"/>
    <row r="64" spans="1:6"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4" ht="15" customHeight="1"/>
    <row r="1015"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6"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5"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ht="15" customHeight="1"/>
    <row r="1090" ht="15" customHeight="1"/>
    <row r="1091" ht="15" customHeight="1"/>
    <row r="1092" ht="15" customHeight="1"/>
    <row r="1093" ht="15" customHeight="1"/>
    <row r="1094" ht="15" customHeight="1"/>
    <row r="1095" ht="15" customHeight="1"/>
    <row r="1096" ht="15" customHeight="1"/>
    <row r="1097" ht="15" customHeight="1"/>
    <row r="1098" ht="15" customHeight="1"/>
    <row r="1099" ht="15" customHeight="1"/>
    <row r="1100" ht="15" customHeight="1"/>
    <row r="1101" ht="15" customHeight="1"/>
    <row r="1102" ht="15" customHeight="1"/>
    <row r="1103" ht="15" customHeight="1"/>
    <row r="1104" ht="15" customHeight="1"/>
    <row r="1105" ht="15" customHeight="1"/>
    <row r="1106" ht="15" customHeight="1"/>
    <row r="1107" ht="15" customHeight="1"/>
    <row r="1108" ht="15" customHeight="1"/>
    <row r="1109" ht="15" customHeight="1"/>
    <row r="1110" ht="15" customHeight="1"/>
    <row r="1111" ht="15" customHeight="1"/>
    <row r="1112" ht="15" customHeight="1"/>
    <row r="1113" ht="15" customHeight="1"/>
    <row r="1114" ht="15" customHeight="1"/>
    <row r="1115" ht="15" customHeight="1"/>
    <row r="1116" ht="15" customHeight="1"/>
    <row r="1117" ht="15" customHeight="1"/>
    <row r="1118" ht="15" customHeight="1"/>
    <row r="1119" ht="15" customHeight="1"/>
    <row r="1120" ht="15" customHeight="1"/>
    <row r="1121" ht="15" customHeight="1"/>
    <row r="1122" ht="15" customHeight="1"/>
    <row r="1123" ht="15" customHeight="1"/>
    <row r="1124" ht="15" customHeight="1"/>
    <row r="1125" ht="15" customHeight="1"/>
    <row r="1126" ht="15" customHeight="1"/>
    <row r="1127" ht="15" customHeight="1"/>
    <row r="1128" ht="15" customHeight="1"/>
    <row r="1129" ht="15" customHeight="1"/>
    <row r="1130" ht="15" customHeight="1"/>
    <row r="1131" ht="15" customHeight="1"/>
    <row r="1132" ht="15" customHeight="1"/>
    <row r="1133" ht="15" customHeight="1"/>
    <row r="1134" ht="15" customHeight="1"/>
    <row r="1135" ht="15" customHeight="1"/>
    <row r="1136" ht="15" customHeight="1"/>
    <row r="1137" ht="15" customHeight="1"/>
    <row r="1138" ht="15" customHeight="1"/>
    <row r="1139" ht="15" customHeight="1"/>
    <row r="1140" ht="15" customHeight="1"/>
    <row r="1141" ht="15" customHeight="1"/>
    <row r="1142" ht="15" customHeight="1"/>
    <row r="1143" ht="15" customHeight="1"/>
    <row r="1144" ht="15" customHeight="1"/>
    <row r="1145" ht="15" customHeight="1"/>
    <row r="1146" ht="15" customHeight="1"/>
    <row r="1147" ht="15" customHeight="1"/>
    <row r="1148" ht="15" customHeight="1"/>
    <row r="1149"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69"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3"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sheetData>
  <mergeCells count="1">
    <mergeCell ref="B17:F17"/>
  </mergeCells>
  <pageMargins left="0.7" right="0.7" top="0.75" bottom="0.75" header="0.3" footer="0.3"/>
  <pageSetup paperSize="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34998626667073579"/>
  </sheetPr>
  <dimension ref="A1:J61"/>
  <sheetViews>
    <sheetView tabSelected="1" workbookViewId="0">
      <selection activeCell="B32" sqref="B32"/>
    </sheetView>
  </sheetViews>
  <sheetFormatPr defaultColWidth="20.7109375" defaultRowHeight="13.15"/>
  <cols>
    <col min="1" max="1" width="16" style="3" customWidth="1"/>
    <col min="2" max="2" width="7.7109375" style="3" customWidth="1"/>
    <col min="3" max="3" width="8.28515625" style="3" customWidth="1"/>
    <col min="4" max="4" width="9" style="3" customWidth="1"/>
    <col min="5" max="5" width="8.28515625" style="3" customWidth="1"/>
    <col min="6" max="8" width="10.7109375" style="3" customWidth="1"/>
    <col min="9" max="16384" width="20.7109375" style="3"/>
  </cols>
  <sheetData>
    <row r="1" spans="1:9" s="1" customFormat="1"/>
    <row r="2" spans="1:9">
      <c r="A2" s="22" t="s">
        <v>45</v>
      </c>
      <c r="B2"/>
      <c r="C2"/>
      <c r="D2"/>
      <c r="E2"/>
      <c r="F2"/>
    </row>
    <row r="3" spans="1:9" customFormat="1"/>
    <row r="4" spans="1:9" ht="15.6">
      <c r="A4" s="23"/>
      <c r="B4" s="23"/>
      <c r="C4" s="123" t="s">
        <v>46</v>
      </c>
      <c r="D4" s="123"/>
      <c r="E4" s="123"/>
    </row>
    <row r="5" spans="1:9" ht="15.6">
      <c r="A5" s="23"/>
      <c r="B5" s="106" t="s">
        <v>47</v>
      </c>
      <c r="C5" s="107" t="s">
        <v>48</v>
      </c>
      <c r="D5" s="108" t="s">
        <v>49</v>
      </c>
      <c r="E5" s="109" t="s">
        <v>49</v>
      </c>
    </row>
    <row r="6" spans="1:9" customFormat="1" ht="13.9">
      <c r="A6" s="24" t="s">
        <v>50</v>
      </c>
      <c r="B6" s="106" t="s">
        <v>51</v>
      </c>
      <c r="C6" s="116" t="s">
        <v>52</v>
      </c>
      <c r="D6" s="25" t="s">
        <v>48</v>
      </c>
      <c r="E6" s="110" t="s">
        <v>49</v>
      </c>
    </row>
    <row r="7" spans="1:9" ht="15.6">
      <c r="A7" s="23"/>
      <c r="B7" s="106" t="s">
        <v>53</v>
      </c>
      <c r="C7" s="111" t="s">
        <v>52</v>
      </c>
      <c r="D7" s="112" t="s">
        <v>52</v>
      </c>
      <c r="E7" s="113" t="s">
        <v>48</v>
      </c>
    </row>
    <row r="8" spans="1:9" ht="15.6">
      <c r="A8" s="23"/>
      <c r="B8" s="23"/>
      <c r="C8" s="106" t="s">
        <v>53</v>
      </c>
      <c r="D8" s="106" t="s">
        <v>51</v>
      </c>
      <c r="E8" s="106" t="s">
        <v>47</v>
      </c>
    </row>
    <row r="9" spans="1:9" customFormat="1" ht="15.6">
      <c r="A9" s="23"/>
      <c r="B9" s="23"/>
      <c r="C9" s="124" t="s">
        <v>54</v>
      </c>
      <c r="D9" s="125"/>
      <c r="E9" s="125"/>
    </row>
    <row r="10" spans="1:9">
      <c r="A10"/>
      <c r="B10"/>
      <c r="C10"/>
      <c r="D10"/>
      <c r="E10"/>
      <c r="F10"/>
    </row>
    <row r="11" spans="1:9">
      <c r="A11" s="126" t="s">
        <v>55</v>
      </c>
      <c r="B11" s="126"/>
      <c r="C11" s="126"/>
      <c r="D11" s="126"/>
      <c r="E11" s="126"/>
      <c r="F11" s="126"/>
      <c r="G11" s="126"/>
      <c r="H11" s="126"/>
      <c r="I11" s="126"/>
    </row>
    <row r="12" spans="1:9" s="27" customFormat="1">
      <c r="A12" s="115" t="s">
        <v>56</v>
      </c>
      <c r="B12" s="8" t="s">
        <v>57</v>
      </c>
      <c r="C12" s="8"/>
      <c r="D12" s="8"/>
      <c r="E12" s="8"/>
      <c r="F12" s="8"/>
      <c r="G12" s="26"/>
      <c r="H12" s="26"/>
      <c r="I12" s="26"/>
    </row>
    <row r="13" spans="1:9" s="27" customFormat="1">
      <c r="A13" s="114" t="s">
        <v>58</v>
      </c>
      <c r="B13" s="13" t="s">
        <v>59</v>
      </c>
      <c r="C13" s="13"/>
      <c r="D13" s="13"/>
      <c r="E13" s="13"/>
      <c r="F13" s="13"/>
      <c r="G13" s="28"/>
      <c r="H13" s="28"/>
      <c r="I13" s="28"/>
    </row>
    <row r="14" spans="1:9" s="27" customFormat="1">
      <c r="A14" s="117" t="s">
        <v>60</v>
      </c>
      <c r="B14" s="18" t="s">
        <v>61</v>
      </c>
      <c r="C14" s="18"/>
      <c r="D14" s="18"/>
      <c r="E14" s="18"/>
      <c r="F14" s="18"/>
      <c r="G14" s="29"/>
      <c r="H14" s="29"/>
      <c r="I14" s="29"/>
    </row>
    <row r="15" spans="1:9">
      <c r="A15"/>
      <c r="B15"/>
      <c r="C15"/>
      <c r="D15"/>
      <c r="E15"/>
      <c r="F15"/>
    </row>
    <row r="16" spans="1:9">
      <c r="A16" s="126" t="s">
        <v>54</v>
      </c>
      <c r="B16" s="126"/>
      <c r="C16" s="126"/>
      <c r="D16" s="126"/>
      <c r="E16" s="126"/>
      <c r="F16" s="126"/>
      <c r="G16" s="126"/>
      <c r="H16" s="126"/>
      <c r="I16" s="126"/>
    </row>
    <row r="17" spans="1:9" s="27" customFormat="1">
      <c r="A17" s="115" t="s">
        <v>56</v>
      </c>
      <c r="B17" s="8" t="s">
        <v>62</v>
      </c>
      <c r="C17" s="9"/>
      <c r="D17" s="9"/>
      <c r="E17" s="9"/>
      <c r="F17" s="9"/>
      <c r="G17" s="30"/>
      <c r="H17" s="30"/>
      <c r="I17" s="30"/>
    </row>
    <row r="18" spans="1:9" s="27" customFormat="1">
      <c r="A18" s="114" t="s">
        <v>58</v>
      </c>
      <c r="B18" s="13" t="s">
        <v>63</v>
      </c>
      <c r="C18" s="14"/>
      <c r="D18" s="14"/>
      <c r="E18" s="14"/>
      <c r="F18" s="14"/>
      <c r="G18" s="31"/>
      <c r="H18" s="31"/>
      <c r="I18" s="31"/>
    </row>
    <row r="19" spans="1:9" s="27" customFormat="1">
      <c r="A19" s="117" t="s">
        <v>60</v>
      </c>
      <c r="B19" s="18" t="s">
        <v>64</v>
      </c>
      <c r="C19" s="105"/>
      <c r="D19" s="105"/>
      <c r="E19" s="105"/>
      <c r="F19" s="105"/>
      <c r="G19" s="32"/>
      <c r="H19" s="32"/>
      <c r="I19" s="32"/>
    </row>
    <row r="20" spans="1:9">
      <c r="A20"/>
      <c r="B20"/>
      <c r="C20"/>
      <c r="D20"/>
      <c r="E20"/>
      <c r="F20"/>
    </row>
    <row r="21" spans="1:9">
      <c r="A21" s="126" t="s">
        <v>65</v>
      </c>
      <c r="B21" s="126"/>
      <c r="C21" s="126"/>
      <c r="D21" s="126"/>
      <c r="E21" s="126"/>
      <c r="F21" s="126"/>
      <c r="G21" s="126"/>
      <c r="H21" s="126"/>
      <c r="I21" s="126"/>
    </row>
    <row r="22" spans="1:9">
      <c r="A22" s="33" t="s">
        <v>66</v>
      </c>
      <c r="B22" s="8" t="s">
        <v>67</v>
      </c>
      <c r="C22" s="10"/>
      <c r="D22" s="10"/>
      <c r="E22" s="10"/>
      <c r="F22" s="10"/>
      <c r="G22" s="11"/>
      <c r="H22" s="11"/>
      <c r="I22" s="11"/>
    </row>
    <row r="23" spans="1:9">
      <c r="A23" s="34" t="s">
        <v>68</v>
      </c>
      <c r="B23" s="13" t="s">
        <v>69</v>
      </c>
      <c r="C23" s="15"/>
      <c r="D23" s="15"/>
      <c r="E23" s="15"/>
      <c r="F23" s="15"/>
      <c r="G23" s="16"/>
      <c r="H23" s="16"/>
      <c r="I23" s="16"/>
    </row>
    <row r="24" spans="1:9" ht="15">
      <c r="A24" s="34" t="s">
        <v>70</v>
      </c>
      <c r="B24" s="13" t="s">
        <v>71</v>
      </c>
      <c r="C24" s="15"/>
      <c r="D24" s="15"/>
      <c r="E24" s="15"/>
      <c r="F24" s="15"/>
      <c r="G24" s="35"/>
      <c r="H24" s="16"/>
      <c r="I24" s="16"/>
    </row>
    <row r="25" spans="1:9">
      <c r="A25" s="34" t="s">
        <v>72</v>
      </c>
      <c r="B25" s="13" t="s">
        <v>73</v>
      </c>
      <c r="C25" s="15"/>
      <c r="D25" s="15"/>
      <c r="E25" s="15"/>
      <c r="F25" s="15"/>
      <c r="G25" s="16"/>
      <c r="H25" s="16"/>
      <c r="I25" s="16"/>
    </row>
    <row r="26" spans="1:9">
      <c r="A26" s="36" t="s">
        <v>74</v>
      </c>
      <c r="B26" s="18" t="s">
        <v>75</v>
      </c>
      <c r="C26" s="19"/>
      <c r="D26" s="19"/>
      <c r="E26" s="19"/>
      <c r="F26" s="19"/>
      <c r="G26" s="20"/>
      <c r="H26" s="20"/>
      <c r="I26" s="20"/>
    </row>
    <row r="27" spans="1:9">
      <c r="A27"/>
    </row>
    <row r="28" spans="1:9" ht="31.9" customHeight="1">
      <c r="A28"/>
      <c r="B28" s="127" t="s">
        <v>76</v>
      </c>
      <c r="C28" s="127"/>
      <c r="D28" s="127"/>
      <c r="E28" s="127"/>
      <c r="F28" s="127"/>
      <c r="G28" s="127"/>
      <c r="H28" s="127"/>
      <c r="I28" s="127"/>
    </row>
    <row r="29" spans="1:9">
      <c r="A29"/>
      <c r="B29"/>
      <c r="C29"/>
      <c r="D29"/>
      <c r="E29"/>
      <c r="F29"/>
    </row>
    <row r="30" spans="1:9" ht="20.100000000000001" customHeight="1">
      <c r="A30"/>
      <c r="B30" s="127" t="s">
        <v>77</v>
      </c>
      <c r="C30" s="127"/>
      <c r="D30" s="127"/>
      <c r="E30" s="127"/>
      <c r="F30" s="127"/>
      <c r="G30" s="127"/>
      <c r="H30" s="127"/>
      <c r="I30" s="127"/>
    </row>
    <row r="31" spans="1:9" ht="15" customHeight="1">
      <c r="A31"/>
      <c r="B31"/>
      <c r="C31"/>
      <c r="D31"/>
      <c r="E31"/>
      <c r="F31"/>
    </row>
    <row r="32" spans="1:9" ht="15" customHeight="1">
      <c r="A32"/>
      <c r="B32" s="5" t="s">
        <v>78</v>
      </c>
      <c r="C32"/>
      <c r="D32"/>
      <c r="E32"/>
      <c r="F32"/>
    </row>
    <row r="33" spans="1:10" ht="15" customHeight="1">
      <c r="A33"/>
      <c r="B33"/>
      <c r="C33"/>
      <c r="D33"/>
      <c r="E33"/>
      <c r="F33"/>
    </row>
    <row r="34" spans="1:10" ht="15" customHeight="1">
      <c r="A34"/>
      <c r="B34"/>
      <c r="C34"/>
      <c r="D34"/>
      <c r="E34"/>
      <c r="F34"/>
    </row>
    <row r="35" spans="1:10" ht="15" customHeight="1">
      <c r="A35"/>
      <c r="B35"/>
      <c r="C35"/>
      <c r="D35"/>
      <c r="E35"/>
      <c r="F35"/>
    </row>
    <row r="36" spans="1:10" ht="20.100000000000001" customHeight="1">
      <c r="A36" s="128" t="s">
        <v>79</v>
      </c>
      <c r="B36" s="128"/>
      <c r="C36" s="129" t="s">
        <v>15</v>
      </c>
      <c r="D36" s="129"/>
      <c r="E36" s="129"/>
      <c r="F36" s="129"/>
      <c r="G36" s="129"/>
      <c r="H36" s="129"/>
      <c r="I36" s="129"/>
      <c r="J36" s="129"/>
    </row>
    <row r="37" spans="1:10" s="27" customFormat="1" ht="20.100000000000001" customHeight="1">
      <c r="A37" s="130" t="s">
        <v>0</v>
      </c>
      <c r="B37" s="130"/>
      <c r="C37" s="131" t="s">
        <v>80</v>
      </c>
      <c r="D37" s="131"/>
      <c r="E37" s="131"/>
      <c r="F37" s="131"/>
      <c r="G37" s="131"/>
      <c r="H37" s="131"/>
      <c r="I37" s="131"/>
      <c r="J37" s="131"/>
    </row>
    <row r="38" spans="1:10" s="27" customFormat="1" ht="19.5" customHeight="1">
      <c r="A38" s="121" t="s">
        <v>81</v>
      </c>
      <c r="B38" s="121"/>
      <c r="C38" s="122" t="s">
        <v>82</v>
      </c>
      <c r="D38" s="122"/>
      <c r="E38" s="122"/>
      <c r="F38" s="122"/>
      <c r="G38" s="122"/>
      <c r="H38" s="122"/>
      <c r="I38" s="122"/>
      <c r="J38" s="122"/>
    </row>
    <row r="39" spans="1:10" s="27" customFormat="1" ht="60" customHeight="1">
      <c r="A39" s="121" t="s">
        <v>83</v>
      </c>
      <c r="B39" s="121"/>
      <c r="C39" s="122" t="s">
        <v>84</v>
      </c>
      <c r="D39" s="122"/>
      <c r="E39" s="122"/>
      <c r="F39" s="122"/>
      <c r="G39" s="122"/>
      <c r="H39" s="122"/>
      <c r="I39" s="122"/>
      <c r="J39" s="122"/>
    </row>
    <row r="40" spans="1:10" s="27" customFormat="1" ht="20.100000000000001" customHeight="1">
      <c r="A40" s="121" t="s">
        <v>3</v>
      </c>
      <c r="B40" s="121"/>
      <c r="C40" s="122" t="s">
        <v>85</v>
      </c>
      <c r="D40" s="122"/>
      <c r="E40" s="122"/>
      <c r="F40" s="122"/>
      <c r="G40" s="122"/>
      <c r="H40" s="122"/>
      <c r="I40" s="122"/>
      <c r="J40" s="122"/>
    </row>
    <row r="41" spans="1:10" s="27" customFormat="1" ht="35.1" customHeight="1">
      <c r="A41" s="121" t="s">
        <v>86</v>
      </c>
      <c r="B41" s="121"/>
      <c r="C41" s="122" t="s">
        <v>87</v>
      </c>
      <c r="D41" s="122"/>
      <c r="E41" s="122"/>
      <c r="F41" s="122"/>
      <c r="G41" s="122"/>
      <c r="H41" s="122"/>
      <c r="I41" s="122"/>
      <c r="J41" s="122"/>
    </row>
    <row r="42" spans="1:10" s="27" customFormat="1" ht="35.1" customHeight="1">
      <c r="A42" s="121" t="s">
        <v>88</v>
      </c>
      <c r="B42" s="121"/>
      <c r="C42" s="122" t="s">
        <v>89</v>
      </c>
      <c r="D42" s="122"/>
      <c r="E42" s="122"/>
      <c r="F42" s="122"/>
      <c r="G42" s="122"/>
      <c r="H42" s="122"/>
      <c r="I42" s="122"/>
      <c r="J42" s="122"/>
    </row>
    <row r="43" spans="1:10" s="27" customFormat="1" ht="20.100000000000001" customHeight="1">
      <c r="A43" s="121" t="s">
        <v>90</v>
      </c>
      <c r="B43" s="121"/>
      <c r="C43" s="122" t="s">
        <v>91</v>
      </c>
      <c r="D43" s="122"/>
      <c r="E43" s="122"/>
      <c r="F43" s="122"/>
      <c r="G43" s="122"/>
      <c r="H43" s="122"/>
      <c r="I43" s="122"/>
      <c r="J43" s="122"/>
    </row>
    <row r="44" spans="1:10" s="27" customFormat="1" ht="35.1" customHeight="1">
      <c r="A44" s="121" t="s">
        <v>92</v>
      </c>
      <c r="B44" s="121"/>
      <c r="C44" s="122" t="s">
        <v>93</v>
      </c>
      <c r="D44" s="122"/>
      <c r="E44" s="122"/>
      <c r="F44" s="122"/>
      <c r="G44" s="122"/>
      <c r="H44" s="122"/>
      <c r="I44" s="122"/>
      <c r="J44" s="122"/>
    </row>
    <row r="45" spans="1:10" s="27" customFormat="1" ht="75" customHeight="1">
      <c r="A45" s="121" t="s">
        <v>94</v>
      </c>
      <c r="B45" s="121"/>
      <c r="C45" s="122" t="s">
        <v>95</v>
      </c>
      <c r="D45" s="122"/>
      <c r="E45" s="122"/>
      <c r="F45" s="122"/>
      <c r="G45" s="122"/>
      <c r="H45" s="122"/>
      <c r="I45" s="122"/>
      <c r="J45" s="122"/>
    </row>
    <row r="46" spans="1:10" s="27" customFormat="1" ht="90" customHeight="1">
      <c r="A46" s="121" t="s">
        <v>96</v>
      </c>
      <c r="B46" s="121"/>
      <c r="C46" s="122" t="s">
        <v>97</v>
      </c>
      <c r="D46" s="122"/>
      <c r="E46" s="122"/>
      <c r="F46" s="122"/>
      <c r="G46" s="122"/>
      <c r="H46" s="122"/>
      <c r="I46" s="122"/>
      <c r="J46" s="122"/>
    </row>
    <row r="47" spans="1:10" s="27" customFormat="1" ht="35.1" customHeight="1">
      <c r="A47" s="121" t="s">
        <v>11</v>
      </c>
      <c r="B47" s="121"/>
      <c r="C47" s="122" t="s">
        <v>98</v>
      </c>
      <c r="D47" s="122"/>
      <c r="E47" s="122"/>
      <c r="F47" s="122"/>
      <c r="G47" s="122"/>
      <c r="H47" s="122"/>
      <c r="I47" s="122"/>
      <c r="J47" s="122"/>
    </row>
    <row r="48" spans="1:10" s="27" customFormat="1" ht="35.1" customHeight="1">
      <c r="A48" s="119" t="s">
        <v>99</v>
      </c>
      <c r="B48" s="119"/>
      <c r="C48" s="120" t="s">
        <v>100</v>
      </c>
      <c r="D48" s="120"/>
      <c r="E48" s="120"/>
      <c r="F48" s="120"/>
      <c r="G48" s="120"/>
      <c r="H48" s="120"/>
      <c r="I48" s="120"/>
      <c r="J48" s="120"/>
    </row>
    <row r="49" spans="1:6" ht="15" customHeight="1">
      <c r="A49"/>
      <c r="B49"/>
      <c r="C49"/>
      <c r="D49"/>
      <c r="E49"/>
      <c r="F49"/>
    </row>
    <row r="50" spans="1:6" ht="15" customHeight="1">
      <c r="A50"/>
      <c r="B50"/>
      <c r="C50"/>
      <c r="D50"/>
      <c r="E50"/>
      <c r="F50"/>
    </row>
    <row r="51" spans="1:6" ht="15" customHeight="1">
      <c r="A51"/>
      <c r="B51"/>
      <c r="C51"/>
      <c r="D51"/>
      <c r="E51"/>
      <c r="F51"/>
    </row>
    <row r="52" spans="1:6" ht="15" customHeight="1"/>
    <row r="53" spans="1:6" ht="15" customHeight="1"/>
    <row r="54" spans="1:6" ht="15" customHeight="1"/>
    <row r="55" spans="1:6" ht="15" customHeight="1"/>
    <row r="56" spans="1:6" ht="15" customHeight="1"/>
    <row r="57" spans="1:6" ht="15" customHeight="1"/>
    <row r="58" spans="1:6" ht="15" customHeight="1"/>
    <row r="59" spans="1:6" ht="15" customHeight="1"/>
    <row r="60" spans="1:6" ht="15" customHeight="1"/>
    <row r="61" spans="1:6" ht="15" customHeight="1"/>
  </sheetData>
  <protectedRanges>
    <protectedRange password="CDFE" sqref="H36:I48" name="Range1"/>
  </protectedRanges>
  <mergeCells count="33">
    <mergeCell ref="A38:B38"/>
    <mergeCell ref="C38:J38"/>
    <mergeCell ref="C4:E4"/>
    <mergeCell ref="C9:E9"/>
    <mergeCell ref="A11:I11"/>
    <mergeCell ref="A16:I16"/>
    <mergeCell ref="A21:I21"/>
    <mergeCell ref="B28:I28"/>
    <mergeCell ref="B30:I30"/>
    <mergeCell ref="A36:B36"/>
    <mergeCell ref="C36:J36"/>
    <mergeCell ref="A37:B37"/>
    <mergeCell ref="C37:J37"/>
    <mergeCell ref="A39:B39"/>
    <mergeCell ref="C39:J39"/>
    <mergeCell ref="A40:B40"/>
    <mergeCell ref="C40:J40"/>
    <mergeCell ref="A41:B41"/>
    <mergeCell ref="C41:J41"/>
    <mergeCell ref="A42:B42"/>
    <mergeCell ref="C42:J42"/>
    <mergeCell ref="A43:B43"/>
    <mergeCell ref="C43:J43"/>
    <mergeCell ref="A44:B44"/>
    <mergeCell ref="C44:J44"/>
    <mergeCell ref="A48:B48"/>
    <mergeCell ref="C48:J48"/>
    <mergeCell ref="A45:B45"/>
    <mergeCell ref="C45:J45"/>
    <mergeCell ref="A46:B46"/>
    <mergeCell ref="C46:J46"/>
    <mergeCell ref="A47:B47"/>
    <mergeCell ref="C47:J47"/>
  </mergeCells>
  <dataValidations count="1">
    <dataValidation showInputMessage="1" showErrorMessage="1" sqref="B25" xr:uid="{00000000-0002-0000-0500-000000000000}"/>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0a6d566-a6eb-4061-8b4f-bca7d6fabe01" xsi:nil="true"/>
    <lcf76f155ced4ddcb4097134ff3c332f xmlns="070135d5-c3a5-4cac-9373-536201166e1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4403D85DC2B32408959E43A1F27B822" ma:contentTypeVersion="15" ma:contentTypeDescription="Create a new document." ma:contentTypeScope="" ma:versionID="2b5ed4db7fbe162ae0908e110cb11dea">
  <xsd:schema xmlns:xsd="http://www.w3.org/2001/XMLSchema" xmlns:xs="http://www.w3.org/2001/XMLSchema" xmlns:p="http://schemas.microsoft.com/office/2006/metadata/properties" xmlns:ns2="070135d5-c3a5-4cac-9373-536201166e1c" xmlns:ns3="20a6d566-a6eb-4061-8b4f-bca7d6fabe01" targetNamespace="http://schemas.microsoft.com/office/2006/metadata/properties" ma:root="true" ma:fieldsID="c2f4febd2b2cf254e9e3443a7fe5ff66" ns2:_="" ns3:_="">
    <xsd:import namespace="070135d5-c3a5-4cac-9373-536201166e1c"/>
    <xsd:import namespace="20a6d566-a6eb-4061-8b4f-bca7d6fabe0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0135d5-c3a5-4cac-9373-536201166e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d97a019a-0880-4451-9250-2f57dde1febc" ma:termSetId="09814cd3-568e-fe90-9814-8d621ff8fb84" ma:anchorId="fba54fb3-c3e1-fe81-a776-ca4b69148c4d" ma:open="true" ma:isKeyword="false">
      <xsd:complexType>
        <xsd:sequence>
          <xsd:element ref="pc:Terms" minOccurs="0" maxOccurs="1"/>
        </xsd:sequence>
      </xsd:complexType>
    </xsd:element>
    <xsd:element name="MediaServiceLocation" ma:index="16" nillable="true" ma:displayName="Location" ma:indexed="true"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0a6d566-a6eb-4061-8b4f-bca7d6fabe01"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85948eff-e8e3-45ec-9126-057f6873e749}" ma:internalName="TaxCatchAll" ma:showField="CatchAllData" ma:web="20a6d566-a6eb-4061-8b4f-bca7d6fabe01">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B663CE-EC4F-4FED-8D6D-A035FDE178D1}"/>
</file>

<file path=customXml/itemProps2.xml><?xml version="1.0" encoding="utf-8"?>
<ds:datastoreItem xmlns:ds="http://schemas.openxmlformats.org/officeDocument/2006/customXml" ds:itemID="{FD19C75B-E59F-4E6F-9903-4D4DB41A506C}"/>
</file>

<file path=customXml/itemProps3.xml><?xml version="1.0" encoding="utf-8"?>
<ds:datastoreItem xmlns:ds="http://schemas.openxmlformats.org/officeDocument/2006/customXml" ds:itemID="{C4014E07-3187-421A-95B6-667176E55CC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Issues Log Template</dc:title>
  <dc:subject/>
  <dc:creator/>
  <cp:keywords>Issue Management; issue tracking; template; Issues Log; Project Management; CMDA</cp:keywords>
  <dc:description/>
  <cp:lastModifiedBy/>
  <cp:revision/>
  <dcterms:created xsi:type="dcterms:W3CDTF">2011-07-15T15:59:05Z</dcterms:created>
  <dcterms:modified xsi:type="dcterms:W3CDTF">2026-02-13T18:50:10Z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0x01010074403D85DC2B32408959E43A1F27B822</vt:lpwstr>
  </property>
  <property fmtid="{D5CDD505-2E9C-101B-9397-08002B2CF9AE}" pid="3" name="_dlc_DocIdItemGuid">
    <vt:lpwstr>6518ab76-853c-4037-9438-424b1e895c0f</vt:lpwstr>
  </property>
  <property fmtid="{D5CDD505-2E9C-101B-9397-08002B2CF9AE}" pid="4" name="Client">
    <vt:lpwstr/>
  </property>
  <property fmtid="{D5CDD505-2E9C-101B-9397-08002B2CF9AE}" pid="5" name="TaxKeyword">
    <vt:lpwstr>604;#issue tracking|6e7c8ae3-4a06-4b97-81df-ae1f2377f98f;#592;#CMDA|ca7ebab5-ecd9-4efa-9c0e-5c85c99f266d;#83;#template|70b68561-497d-4379-873b-3f63af10344c;#127;#Issues Log|078c14cc-1eaf-47e0-83a8-9132d17c675f;#463;#Project Management|12b6116e-629a-4a2d-a</vt:lpwstr>
  </property>
  <property fmtid="{D5CDD505-2E9C-101B-9397-08002B2CF9AE}" pid="6" name="Skills">
    <vt:lpwstr/>
  </property>
  <property fmtid="{D5CDD505-2E9C-101B-9397-08002B2CF9AE}" pid="7" name="Slalom Office">
    <vt:lpwstr/>
  </property>
  <property fmtid="{D5CDD505-2E9C-101B-9397-08002B2CF9AE}" pid="8" name="Technical Work Tag &amp; Details">
    <vt:lpwstr/>
  </property>
  <property fmtid="{D5CDD505-2E9C-101B-9397-08002B2CF9AE}" pid="9" name="Business Imperative &amp; Solution">
    <vt:lpwstr/>
  </property>
  <property fmtid="{D5CDD505-2E9C-101B-9397-08002B2CF9AE}" pid="10" name="Client0">
    <vt:lpwstr/>
  </property>
  <property fmtid="{D5CDD505-2E9C-101B-9397-08002B2CF9AE}" pid="11" name="Slalom Office0">
    <vt:lpwstr/>
  </property>
  <property fmtid="{D5CDD505-2E9C-101B-9397-08002B2CF9AE}" pid="12" name="Order">
    <vt:r8>40400</vt:r8>
  </property>
  <property fmtid="{D5CDD505-2E9C-101B-9397-08002B2CF9AE}" pid="13" name="_CopySource">
    <vt:lpwstr>https://sp.slalom.com/knowledgecenter/Project Deliverables/Issues Log Template.xlsx</vt:lpwstr>
  </property>
  <property fmtid="{D5CDD505-2E9C-101B-9397-08002B2CF9AE}" pid="14" name="xd_ProgID">
    <vt:lpwstr/>
  </property>
  <property fmtid="{D5CDD505-2E9C-101B-9397-08002B2CF9AE}" pid="15" name="TemplateUrl">
    <vt:lpwstr/>
  </property>
  <property fmtid="{D5CDD505-2E9C-101B-9397-08002B2CF9AE}" pid="16" name="Methodology">
    <vt:lpwstr/>
  </property>
  <property fmtid="{D5CDD505-2E9C-101B-9397-08002B2CF9AE}" pid="17" name="DocumentDesignation">
    <vt:lpwstr/>
  </property>
  <property fmtid="{D5CDD505-2E9C-101B-9397-08002B2CF9AE}" pid="18" name="ACMStage">
    <vt:lpwstr/>
  </property>
  <property fmtid="{D5CDD505-2E9C-101B-9397-08002B2CF9AE}" pid="19" name="DocumentClass">
    <vt:lpwstr/>
  </property>
  <property fmtid="{D5CDD505-2E9C-101B-9397-08002B2CF9AE}" pid="20" name="Workstream">
    <vt:lpwstr/>
  </property>
</Properties>
</file>